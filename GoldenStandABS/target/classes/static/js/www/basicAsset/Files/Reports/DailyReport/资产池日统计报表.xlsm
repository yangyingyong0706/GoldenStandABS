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Shared\Log\"/>
    </mc:Choice>
  </mc:AlternateContent>
  <bookViews>
    <workbookView xWindow="1170" yWindow="420" windowWidth="19320" windowHeight="9975" tabRatio="817" activeTab="3"/>
  </bookViews>
  <sheets>
    <sheet name="Index" sheetId="18" r:id="rId1"/>
    <sheet name="PoolStatistics" sheetId="12" r:id="rId2"/>
    <sheet name="Distributions" sheetId="15" r:id="rId3"/>
    <sheet name="Reports" sheetId="2" r:id="rId4"/>
  </sheets>
  <definedNames>
    <definedName name="Slicer_Date1">#N/A</definedName>
  </definedNames>
  <calcPr calcId="145621"/>
  <pivotCaches>
    <pivotCache cacheId="117" r:id="rId5"/>
    <pivotCache cacheId="124" r:id="rId6"/>
    <pivotCache cacheId="127" r:id="rId7"/>
    <pivotCache cacheId="130" r:id="rId8"/>
    <pivotCache cacheId="133" r:id="rId9"/>
    <pivotCache cacheId="136" r:id="rId10"/>
    <pivotCache cacheId="139" r:id="rId11"/>
    <pivotCache cacheId="142" r:id="rId12"/>
    <pivotCache cacheId="145" r:id="rId13"/>
    <pivotCache cacheId="148" r:id="rId14"/>
    <pivotCache cacheId="151" r:id="rId15"/>
    <pivotCache cacheId="154" r:id="rId16"/>
    <pivotCache cacheId="157" r:id="rId17"/>
    <pivotCache cacheId="160" r:id="rId18"/>
    <pivotCache cacheId="163" r:id="rId19"/>
    <pivotCache cacheId="166" r:id="rId20"/>
    <pivotCache cacheId="169" r:id="rId21"/>
    <pivotCache cacheId="172" r:id="rId22"/>
    <pivotCache cacheId="175" r:id="rId23"/>
    <pivotCache cacheId="178" r:id="rId24"/>
    <pivotCache cacheId="181" r:id="rId25"/>
    <pivotCache cacheId="190" r:id="rId26"/>
  </pivotCaches>
  <extLst>
    <ext xmlns:x14="http://schemas.microsoft.com/office/spreadsheetml/2009/9/main" uri="{876F7934-8845-4945-9796-88D515C7AA90}">
      <x14:pivotCaches>
        <pivotCache cacheId="120" r:id="rId27"/>
      </x14:pivotCaches>
    </ex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5;Integrated Security=SSPI;Persist Security Info=True;Initial Catalog=SFM_DAL_ConsumerLoan;Data Source=.\mssql;Extended Properties=&quot;LocaleIdentifier=2052&quot;;MDX Compatibility=1;Safety Options=2;MDX Missing Member Mode=Error" command="SFM DAL ConsumerLoan"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PoolCut Base Pool Connection String"/>
    <s v="{[Date].[Date].[All]}"/>
    <s v="{[Date].[Date].&amp;[20161130]}"/>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<sst xmlns="http://schemas.openxmlformats.org/spreadsheetml/2006/main" count="532" uniqueCount="327">
  <si>
    <t>ptSummary</t>
  </si>
  <si>
    <t>ptReportsDT</t>
  </si>
  <si>
    <t>统计表格</t>
  </si>
  <si>
    <t>报表</t>
  </si>
  <si>
    <t>资产池报表</t>
  </si>
  <si>
    <t>查看</t>
  </si>
  <si>
    <t>统计表格标识</t>
  </si>
  <si>
    <t>Date</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</si>
  <si>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</si>
  <si>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</si>
  <si>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</si>
  <si>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</si>
  <si>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</si>
  <si>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</si>
  <si>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</si>
  <si>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</si>
  <si>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</si>
  <si>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</si>
  <si>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ptDistInterest</t>
  </si>
  <si>
    <t>贷款本金余额分布</t>
  </si>
  <si>
    <t>贷款利率分布</t>
  </si>
  <si>
    <t>ptDistBalance</t>
  </si>
  <si>
    <t>本金余额分布</t>
  </si>
  <si>
    <t>其他贷款属性分布</t>
  </si>
  <si>
    <t>贷款五级分类</t>
  </si>
  <si>
    <t>ptDistFiveClass</t>
  </si>
  <si>
    <t>ptDistBranch</t>
  </si>
  <si>
    <t>贷款行业分布</t>
  </si>
  <si>
    <t>ptDistCustomerSector</t>
  </si>
  <si>
    <t>担保方式分布</t>
  </si>
  <si>
    <t>本金余额</t>
  </si>
  <si>
    <t>本金余额占比</t>
  </si>
  <si>
    <t>贷款笔数占比</t>
  </si>
  <si>
    <t>总数</t>
  </si>
  <si>
    <t>贷款笔数</t>
  </si>
  <si>
    <t>Grand Total</t>
  </si>
  <si>
    <t>加权平均应收账款合同期限（月）</t>
  </si>
  <si>
    <t>加权平均应收账款合同剩余期限（月）</t>
  </si>
  <si>
    <t>0万元 - 5万元(不含)</t>
  </si>
  <si>
    <t>5万元 - 10万元(不含)</t>
  </si>
  <si>
    <t>10万元 - 15万元(不含)</t>
  </si>
  <si>
    <t>15万元 - 20万元(不含)</t>
  </si>
  <si>
    <t>20万元 - 25万元(不含)</t>
  </si>
  <si>
    <t>25万元 - 30万元(不含)</t>
  </si>
  <si>
    <t>30万元 - 35万元(不含)</t>
  </si>
  <si>
    <t>35万元 - 40万元(不含)</t>
  </si>
  <si>
    <t>40万元 - 45万元(不含)</t>
  </si>
  <si>
    <t>45万元 - 50万元(不含)</t>
  </si>
  <si>
    <t>50万元 - 55万元(不含)</t>
  </si>
  <si>
    <t>55万元 - 60万元(不含)</t>
  </si>
  <si>
    <t>60万元 - 65万元(不含)</t>
  </si>
  <si>
    <t>65万元 - 70万元(不含)</t>
  </si>
  <si>
    <t>70万元 - 75万元(不含)</t>
  </si>
  <si>
    <t>75万元 - 80万元(不含)</t>
  </si>
  <si>
    <t>80万元 - 85万元(不含)</t>
  </si>
  <si>
    <t>85万元 - 90万元(不含)</t>
  </si>
  <si>
    <t>90万元 - 95万元(不含)</t>
  </si>
  <si>
    <t>95万元 - 100万元(不含)</t>
  </si>
  <si>
    <t>100万元以上</t>
  </si>
  <si>
    <t>总计</t>
  </si>
  <si>
    <t>小于等于 24 个月</t>
  </si>
  <si>
    <t>24-36 个月(含)</t>
  </si>
  <si>
    <t>36-48 个月(含)</t>
  </si>
  <si>
    <t>大于 60 个月</t>
  </si>
  <si>
    <t>48-60 个月(含)</t>
  </si>
  <si>
    <t>0.5（不含）% - 1（含）%</t>
  </si>
  <si>
    <t>100,000-200,000(含)</t>
  </si>
  <si>
    <t>200,000-300,000(含)</t>
  </si>
  <si>
    <t>300,000-400,000(含)</t>
  </si>
  <si>
    <t>年收入分布</t>
  </si>
  <si>
    <t>20-30 岁(含)</t>
  </si>
  <si>
    <t>30-40 岁(含)</t>
  </si>
  <si>
    <t>40-50 岁(含)</t>
  </si>
  <si>
    <t>大于 50 岁</t>
  </si>
  <si>
    <t>小于等于 20 岁</t>
  </si>
  <si>
    <t>年龄分布</t>
  </si>
  <si>
    <t>信用分数分布</t>
  </si>
  <si>
    <t>小于等于 0.2</t>
  </si>
  <si>
    <t>还款方式分布</t>
  </si>
  <si>
    <t>贷款利率类型分布</t>
  </si>
  <si>
    <t>合同金额分布</t>
  </si>
  <si>
    <t>贷款类型分布</t>
  </si>
  <si>
    <t>贷款地区分布</t>
  </si>
  <si>
    <t>担保情况分布</t>
  </si>
  <si>
    <t>正常</t>
  </si>
  <si>
    <t xml:space="preserve">初始抵押率分布
</t>
  </si>
  <si>
    <t xml:space="preserve">抵押车辆品牌分布
</t>
  </si>
  <si>
    <t>0.1-0.2(含)</t>
  </si>
  <si>
    <t>0.2-0.3(含)</t>
  </si>
  <si>
    <t>0.3-0.4(含)</t>
  </si>
  <si>
    <t>0.4-0.5(含)</t>
  </si>
  <si>
    <t>0.5-0.6(含)</t>
  </si>
  <si>
    <t>0.6-0.7(含)</t>
  </si>
  <si>
    <t>0.7-0.8(含)</t>
  </si>
  <si>
    <t>0.9-1.0(含)</t>
  </si>
  <si>
    <t>小于等于 0.1</t>
  </si>
  <si>
    <t>奇瑞</t>
  </si>
  <si>
    <t>宝马</t>
  </si>
  <si>
    <t>捷豹</t>
  </si>
  <si>
    <t>斯巴鲁</t>
  </si>
  <si>
    <t>斯柯达</t>
  </si>
  <si>
    <t>比亚迪</t>
  </si>
  <si>
    <t>路虎</t>
  </si>
  <si>
    <t>雪佛兰</t>
  </si>
  <si>
    <t>雪铁龙</t>
  </si>
  <si>
    <t>雷克萨斯</t>
  </si>
  <si>
    <t>雷诺</t>
  </si>
  <si>
    <t>车辆状态分布</t>
  </si>
  <si>
    <t>ptDistInterestType</t>
  </si>
  <si>
    <t>ptDistContractAmount</t>
  </si>
  <si>
    <t>ptDistLoanType</t>
  </si>
  <si>
    <t>ptDistGuaranteeType</t>
  </si>
  <si>
    <t>ptDistPaymentType</t>
  </si>
  <si>
    <t>ptDistAnnualIncome</t>
  </si>
  <si>
    <t>ptDistAge</t>
  </si>
  <si>
    <t>ptDistCreditScore</t>
  </si>
  <si>
    <t>教师</t>
  </si>
  <si>
    <t>未知</t>
  </si>
  <si>
    <t>初始抵押率分布</t>
  </si>
  <si>
    <t>ptDistLTV</t>
  </si>
  <si>
    <t>抵押车辆品牌分布</t>
  </si>
  <si>
    <t>ptDistAutoBrand</t>
  </si>
  <si>
    <t>ptDistIsNewAuto</t>
  </si>
  <si>
    <t>借款人平均未偿本金余额</t>
  </si>
  <si>
    <t>资产池抵押新车占比</t>
  </si>
  <si>
    <t>30-40 岁借款人贷款的金额占比</t>
  </si>
  <si>
    <t>400,000-500,000(含)</t>
  </si>
  <si>
    <t>50,000-100,000(含)</t>
  </si>
  <si>
    <t>小于等于50,000</t>
  </si>
  <si>
    <t>100万元（不含）-300万元（含）</t>
  </si>
  <si>
    <t>500万元（不含）-700万元（含）</t>
  </si>
  <si>
    <t>50万元（不含）-100万元（含）</t>
  </si>
  <si>
    <t>50万元以内（含）</t>
  </si>
  <si>
    <t>单笔贷款最高利率（%）</t>
  </si>
  <si>
    <t>单笔贷款最低利率（%）</t>
  </si>
  <si>
    <t>加权平均贷款利率（%）</t>
  </si>
  <si>
    <t>客户数（户）</t>
  </si>
  <si>
    <t>合同笔数（笔）</t>
  </si>
  <si>
    <t>合同总金额（元）</t>
  </si>
  <si>
    <t>应收账款余额（元）</t>
  </si>
  <si>
    <t>单笔合同最大剩余应付货款余额（元）</t>
  </si>
  <si>
    <t>单笔贷款平均本金余额（元）</t>
  </si>
  <si>
    <t>单笔贷款平均合同金额（元）</t>
  </si>
  <si>
    <t>加权平均贷款账龄（月）</t>
  </si>
  <si>
    <t>单笔贷款最长剩余期限（月）</t>
  </si>
  <si>
    <t>单笔贷款最短剩余期限（月）</t>
  </si>
  <si>
    <t>抵押车辆初始合同价值合计（元）</t>
  </si>
  <si>
    <t>加权平均年龄（岁）</t>
  </si>
  <si>
    <t>借款人加权平均年收入（元）</t>
  </si>
  <si>
    <t>借款人加权平均收入债务比（倍）</t>
  </si>
  <si>
    <t>加权平均初始贷款价值比（LTV）</t>
  </si>
  <si>
    <t>合同总金额</t>
  </si>
  <si>
    <t>合同金额占比</t>
  </si>
  <si>
    <t xml:space="preserve">贷款五级分类分布
</t>
  </si>
  <si>
    <t>合同金额</t>
  </si>
  <si>
    <t>30/11/2016</t>
  </si>
  <si>
    <t>12（含）-15 个月（不含）</t>
  </si>
  <si>
    <t>24（含）-27 个月（不含）</t>
  </si>
  <si>
    <t>36（含）-39 个月（不含）</t>
  </si>
  <si>
    <t>300万元（不含）-500万元（含）</t>
  </si>
  <si>
    <t>700万元（不含）以上</t>
  </si>
  <si>
    <t>一手住房</t>
  </si>
  <si>
    <t>二手住房</t>
  </si>
  <si>
    <t>保证</t>
  </si>
  <si>
    <t>信用</t>
  </si>
  <si>
    <t>0211司局级以上干部</t>
  </si>
  <si>
    <t>0311高级研究员/分析员</t>
  </si>
  <si>
    <t>1.[国家党政机关、事业单位]</t>
  </si>
  <si>
    <t>1.国家党政机关、事业单位</t>
  </si>
  <si>
    <t>2.教育机构</t>
  </si>
  <si>
    <t>3.医疗机构</t>
  </si>
  <si>
    <t>4.金融业</t>
  </si>
  <si>
    <t>5.[贸易、商业、事务所]</t>
  </si>
  <si>
    <t>5.贸易、商业、事务所</t>
  </si>
  <si>
    <t>6.[贸易、商业、事务所]</t>
  </si>
  <si>
    <t>6.建筑、制造业</t>
  </si>
  <si>
    <t>7.酒店、餐饮、娱乐</t>
  </si>
  <si>
    <t>8.个体经营</t>
  </si>
  <si>
    <t>9.其他</t>
  </si>
  <si>
    <t>上市公司高级管理层</t>
  </si>
  <si>
    <t>专业人士</t>
  </si>
  <si>
    <t>专业技术工人</t>
  </si>
  <si>
    <t>个体工商户</t>
  </si>
  <si>
    <t>中级研究员、分析员</t>
  </si>
  <si>
    <t>企业普通职员</t>
  </si>
  <si>
    <t>企业管理人员</t>
  </si>
  <si>
    <t>会计师</t>
  </si>
  <si>
    <t>公检法机关人员</t>
  </si>
  <si>
    <t>其他</t>
  </si>
  <si>
    <t>其他专业人士</t>
  </si>
  <si>
    <t>其他文体工作者</t>
  </si>
  <si>
    <t>其他普通职员</t>
  </si>
  <si>
    <t>其他管理人员</t>
  </si>
  <si>
    <t>其他经济人员</t>
  </si>
  <si>
    <t>军人、武警战士</t>
  </si>
  <si>
    <t>农民</t>
  </si>
  <si>
    <t>医生</t>
  </si>
  <si>
    <t>医疗辅助人员</t>
  </si>
  <si>
    <t>国家机关公务员、事业单位人员</t>
  </si>
  <si>
    <t>国有企业高级管理层</t>
  </si>
  <si>
    <t>处级以上干部</t>
  </si>
  <si>
    <t>媒体工作者</t>
  </si>
  <si>
    <t>学生</t>
  </si>
  <si>
    <t>审计师</t>
  </si>
  <si>
    <t>家庭主妇</t>
  </si>
  <si>
    <t>小微企业主</t>
  </si>
  <si>
    <t>工程师</t>
  </si>
  <si>
    <t>待业、无业</t>
  </si>
  <si>
    <t>律师</t>
  </si>
  <si>
    <t>技术人员</t>
  </si>
  <si>
    <t>文体工作者</t>
  </si>
  <si>
    <t>文化、教育</t>
  </si>
  <si>
    <t>文员</t>
  </si>
  <si>
    <t>普通公职人员</t>
  </si>
  <si>
    <t>普通工人</t>
  </si>
  <si>
    <t>普通研究员、分析员</t>
  </si>
  <si>
    <t>服务人员</t>
  </si>
  <si>
    <t>演艺人员</t>
  </si>
  <si>
    <t>煤炭、钢铁</t>
  </si>
  <si>
    <t>离退休人员</t>
  </si>
  <si>
    <t>私营企业管理人员</t>
  </si>
  <si>
    <t>科技人员</t>
  </si>
  <si>
    <t>经济人员</t>
  </si>
  <si>
    <t>翻译</t>
  </si>
  <si>
    <t>自由职业者</t>
  </si>
  <si>
    <t>设计师</t>
  </si>
  <si>
    <t>财务人员</t>
  </si>
  <si>
    <t>销售人员</t>
  </si>
  <si>
    <t>大于500,000</t>
  </si>
  <si>
    <t>关注</t>
  </si>
  <si>
    <t>可疑</t>
  </si>
  <si>
    <t>损失</t>
  </si>
  <si>
    <t>次级</t>
  </si>
  <si>
    <t>674</t>
  </si>
  <si>
    <t>DS</t>
  </si>
  <si>
    <t>Jeep</t>
  </si>
  <si>
    <t>MG</t>
  </si>
  <si>
    <t>NULL</t>
  </si>
  <si>
    <t>一汽丰田</t>
  </si>
  <si>
    <t>一汽大众</t>
  </si>
  <si>
    <t>一汽大众CC</t>
  </si>
  <si>
    <t>一汽大众高尔夫</t>
  </si>
  <si>
    <t>一汽奔腾</t>
  </si>
  <si>
    <t>一汽奥迪</t>
  </si>
  <si>
    <t>一汽奥迪二手车</t>
  </si>
  <si>
    <t>一汽马自达</t>
  </si>
  <si>
    <t>上海大众</t>
  </si>
  <si>
    <t>上海大众朗行</t>
  </si>
  <si>
    <t>上海汽车</t>
  </si>
  <si>
    <t>东南三菱</t>
  </si>
  <si>
    <t>东南汽车</t>
  </si>
  <si>
    <t>东风悦达起亚</t>
  </si>
  <si>
    <t>东风日产</t>
  </si>
  <si>
    <t>东风本田</t>
  </si>
  <si>
    <t>东风标致</t>
  </si>
  <si>
    <t>东风裕隆</t>
  </si>
  <si>
    <t>东风雪铁龙</t>
  </si>
  <si>
    <t>东风风神</t>
  </si>
  <si>
    <t>东风风行</t>
  </si>
  <si>
    <t>众泰</t>
  </si>
  <si>
    <t>传祺</t>
  </si>
  <si>
    <t>保时捷</t>
  </si>
  <si>
    <t>克莱斯勒</t>
  </si>
  <si>
    <t>全球鹰</t>
  </si>
  <si>
    <t>凯迪拉克</t>
  </si>
  <si>
    <t>北京奔驰</t>
  </si>
  <si>
    <t>北京汽车</t>
  </si>
  <si>
    <t>北京现代</t>
  </si>
  <si>
    <t>华晨中华</t>
  </si>
  <si>
    <t>吉利</t>
  </si>
  <si>
    <t>吉利全球鹰</t>
  </si>
  <si>
    <t>启辰</t>
  </si>
  <si>
    <t>帝豪</t>
  </si>
  <si>
    <t>广汽三菱</t>
  </si>
  <si>
    <t>广汽丰田</t>
  </si>
  <si>
    <t>广汽传祺</t>
  </si>
  <si>
    <t>广汽传祺GA3</t>
  </si>
  <si>
    <t>广汽本田</t>
  </si>
  <si>
    <t>广汽菲亚特</t>
  </si>
  <si>
    <t>悦达起亚</t>
  </si>
  <si>
    <t>林肯</t>
  </si>
  <si>
    <t>欧宝</t>
  </si>
  <si>
    <t>江淮</t>
  </si>
  <si>
    <t>江铃</t>
  </si>
  <si>
    <t>沃尔沃</t>
  </si>
  <si>
    <t>海南马自达</t>
  </si>
  <si>
    <t>特斯拉</t>
  </si>
  <si>
    <t>玛莎拉蒂</t>
  </si>
  <si>
    <t>福特</t>
  </si>
  <si>
    <t>科雷傲</t>
  </si>
  <si>
    <t>纳智捷</t>
  </si>
  <si>
    <t>英伦</t>
  </si>
  <si>
    <t>英菲尼迪</t>
  </si>
  <si>
    <t>荣威</t>
  </si>
  <si>
    <t>菲亚特</t>
  </si>
  <si>
    <t>观致</t>
  </si>
  <si>
    <t>讴歌</t>
  </si>
  <si>
    <t>进口三菱</t>
  </si>
  <si>
    <t>进口丰田</t>
  </si>
  <si>
    <t>进口大众</t>
  </si>
  <si>
    <t>进口标致</t>
  </si>
  <si>
    <t>进口现代</t>
  </si>
  <si>
    <t>进口起亚</t>
  </si>
  <si>
    <t>进口铃木</t>
  </si>
  <si>
    <t>进口雪铁龙</t>
  </si>
  <si>
    <t>进口马自达</t>
  </si>
  <si>
    <t>通用别克</t>
  </si>
  <si>
    <t>长城</t>
  </si>
  <si>
    <t>长安</t>
  </si>
  <si>
    <t>长安汽车</t>
  </si>
  <si>
    <t>长安福特</t>
  </si>
  <si>
    <t>长安铃木</t>
  </si>
  <si>
    <t>长安马自达</t>
  </si>
  <si>
    <t>马自达</t>
  </si>
  <si>
    <t>0（不含）% - 0.5（含）%</t>
  </si>
  <si>
    <t>1（不含）% - 1.5（含）%</t>
  </si>
  <si>
    <t>1.5（不含）% - 2（含）%</t>
  </si>
  <si>
    <t>2（不含）% - 2.5（含）%</t>
  </si>
  <si>
    <t>2.5（不含）% - 3（含）%</t>
  </si>
  <si>
    <t>3（不含）% - 3.5（含）%</t>
  </si>
  <si>
    <t>Refeshed at : 11:58:41 AM</t>
  </si>
  <si>
    <t>Fact Report Count</t>
  </si>
  <si>
    <t>Total</t>
  </si>
  <si>
    <t>报表名称</t>
  </si>
  <si>
    <t>现金流归集报表</t>
  </si>
  <si>
    <t>评级机构资产池详细报表</t>
  </si>
  <si>
    <t>静态池报表</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</si>
</sst>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 #,##0.00_-;_-* &quot;-&quot;??_-;_-@_-"/>
    <numFmt numFmtId="165" formatCode="&quot;$&quot;#,##0.00"/>
    <numFmt numFmtId="166" formatCode="[$¥-804]#,##0.00"/>
    <numFmt numFmtId="167" formatCode="#,##0;\-#,##0"/>
    <numFmt numFmtId="168" formatCode="#,##0.00;\-#,##0.00"/>
    <numFmt numFmtId="169" formatCode="&quot;¥&quot;#,##0.00"/>
  </numFmts>
  <fonts count="12" x14ac:knownFonts="1">
    <font>
      <sz val="11"/>
      <color theme="1"/>
      <name val="Calibri"/>
      <family val="2"/>
      <scheme val="minor"/>
    </font>
    <font>
      <sz val="11"/>
      <color theme="1"/>
      <name val="Calibri"/>
      <family val="2"/>
      <scheme val="minor"/>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0" fontId="7" fillId="0" borderId="0" applyNumberFormat="0" applyFill="0" applyBorder="0" applyAlignment="0" applyProtection="0"/>
  </cellStyleXfs>
  <cellXfs count="52">
    <xf numFmtId="0" fontId="0" fillId="0" borderId="0" xfId="0"/>
    <xf numFmtId="0" fontId="0" fillId="0" borderId="0" xfId="0"/>
    <xf numFmtId="0" fontId="3" fillId="0" borderId="0" xfId="0" applyFont="1"/>
    <xf numFmtId="0" fontId="5" fillId="0" borderId="0" xfId="0" applyFont="1"/>
    <xf numFmtId="3" fontId="3" fillId="0" borderId="0" xfId="0" applyNumberFormat="1" applyFont="1"/>
    <xf numFmtId="0" fontId="5" fillId="0" borderId="0" xfId="0" applyFont="1" applyFill="1"/>
    <xf numFmtId="3" fontId="3" fillId="0" borderId="0" xfId="0" applyNumberFormat="1" applyFont="1" applyAlignment="1">
      <alignment horizontal="center"/>
    </xf>
    <xf numFmtId="0" fontId="3" fillId="0" borderId="0" xfId="0" applyFont="1" applyAlignment="1">
      <alignment horizontal="center"/>
    </xf>
    <xf numFmtId="165" fontId="3" fillId="0" borderId="0" xfId="0" applyNumberFormat="1" applyFont="1" applyAlignment="1">
      <alignment horizontal="center"/>
    </xf>
    <xf numFmtId="0" fontId="6" fillId="0" borderId="0" xfId="0" applyFont="1"/>
    <xf numFmtId="0" fontId="8" fillId="0" borderId="0" xfId="0"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0" fillId="0" borderId="0" xfId="0"/>
    <xf numFmtId="165" fontId="0" fillId="0" borderId="0" xfId="0" applyNumberFormat="1"/>
    <xf numFmtId="0" fontId="3" fillId="0" borderId="0" xfId="0" applyFont="1"/>
    <xf numFmtId="0" fontId="5" fillId="0" borderId="0" xfId="0" applyFont="1"/>
    <xf numFmtId="165" fontId="3" fillId="0" borderId="0" xfId="0" applyNumberFormat="1" applyFont="1"/>
    <xf numFmtId="3" fontId="3" fillId="0" borderId="0" xfId="0" applyNumberFormat="1" applyFont="1"/>
    <xf numFmtId="165" fontId="4" fillId="0" borderId="0" xfId="0" applyNumberFormat="1" applyFont="1"/>
    <xf numFmtId="0" fontId="3" fillId="0" borderId="0" xfId="0" applyFont="1" applyAlignment="1">
      <alignment horizontal="right"/>
    </xf>
    <xf numFmtId="10" fontId="3" fillId="0" borderId="0" xfId="0" applyNumberFormat="1" applyFont="1"/>
    <xf numFmtId="0" fontId="3" fillId="0" borderId="0" xfId="0" applyNumberFormat="1" applyFont="1"/>
    <xf numFmtId="165" fontId="3" fillId="0" borderId="0" xfId="0" applyNumberFormat="1" applyFont="1" applyAlignment="1">
      <alignment horizontal="right"/>
    </xf>
    <xf numFmtId="3" fontId="3" fillId="0" borderId="0" xfId="0" applyNumberFormat="1" applyFont="1" applyAlignment="1">
      <alignment horizontal="right"/>
    </xf>
    <xf numFmtId="0" fontId="3" fillId="0" borderId="0" xfId="0" applyFont="1" applyAlignment="1">
      <alignment horizontal="left" indent="1"/>
    </xf>
    <xf numFmtId="0" fontId="9" fillId="0" borderId="0" xfId="0" applyFont="1"/>
    <xf numFmtId="0" fontId="3" fillId="0" borderId="0" xfId="0" applyNumberFormat="1" applyFont="1" applyAlignment="1">
      <alignment horizontal="right"/>
    </xf>
    <xf numFmtId="4" fontId="3" fillId="0" borderId="0" xfId="0" applyNumberFormat="1" applyFont="1"/>
    <xf numFmtId="0" fontId="3" fillId="0" borderId="0" xfId="0" applyFont="1" applyAlignment="1">
      <alignment horizontal="left"/>
    </xf>
    <xf numFmtId="10" fontId="3" fillId="0" borderId="0" xfId="0" applyNumberFormat="1" applyFont="1" applyAlignment="1">
      <alignment horizontal="right"/>
    </xf>
    <xf numFmtId="0" fontId="10" fillId="0" borderId="0" xfId="7" applyFont="1" applyAlignment="1">
      <alignment horizontal="center" vertical="center"/>
    </xf>
    <xf numFmtId="0" fontId="0" fillId="0" borderId="0" xfId="0" pivotButton="1"/>
    <xf numFmtId="0" fontId="6" fillId="2" borderId="0" xfId="0" applyFont="1" applyFill="1"/>
    <xf numFmtId="0" fontId="11" fillId="2" borderId="0" xfId="0" applyFont="1" applyFill="1" applyAlignment="1">
      <alignment horizontal="center" vertical="center"/>
    </xf>
    <xf numFmtId="0" fontId="7" fillId="0" borderId="0" xfId="7" applyAlignment="1">
      <alignment horizontal="center" vertical="center"/>
    </xf>
    <xf numFmtId="0" fontId="0" fillId="0" borderId="0" xfId="0" applyAlignment="1">
      <alignment horizontal="left"/>
    </xf>
    <xf numFmtId="166" fontId="0" fillId="0" borderId="0" xfId="0" applyNumberFormat="1"/>
    <xf numFmtId="10" fontId="0" fillId="0" borderId="0" xfId="0" applyNumberFormat="1"/>
    <xf numFmtId="0" fontId="0" fillId="0" borderId="0" xfId="0" applyAlignment="1">
      <alignment horizontal="right"/>
    </xf>
    <xf numFmtId="0" fontId="0" fillId="0" borderId="0" xfId="0" applyNumberFormat="1"/>
    <xf numFmtId="37" fontId="0" fillId="0" borderId="0" xfId="0" applyNumberFormat="1" applyAlignment="1">
      <alignment horizontal="right"/>
    </xf>
    <xf numFmtId="3" fontId="0" fillId="0" borderId="0" xfId="0" applyNumberFormat="1"/>
    <xf numFmtId="4" fontId="0" fillId="0" borderId="0" xfId="0" applyNumberFormat="1"/>
    <xf numFmtId="2" fontId="0" fillId="0" borderId="0" xfId="0" applyNumberFormat="1"/>
    <xf numFmtId="37" fontId="0" fillId="0" borderId="0" xfId="0" applyNumberFormat="1"/>
    <xf numFmtId="39" fontId="0" fillId="0" borderId="0" xfId="0" applyNumberFormat="1"/>
    <xf numFmtId="167" fontId="0" fillId="0" borderId="0" xfId="0" applyNumberFormat="1"/>
    <xf numFmtId="168" fontId="0" fillId="0" borderId="0" xfId="0" applyNumberFormat="1"/>
    <xf numFmtId="167" fontId="0" fillId="0" borderId="0" xfId="0" applyNumberFormat="1" applyAlignment="1">
      <alignment horizontal="right"/>
    </xf>
    <xf numFmtId="169" fontId="0" fillId="0" borderId="0" xfId="0" applyNumberFormat="1"/>
    <xf numFmtId="0" fontId="3"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09">
    <dxf>
      <numFmt numFmtId="14" formatCode="0.00%"/>
    </dxf>
    <dxf>
      <numFmt numFmtId="169" formatCode="&quot;¥&quot;#,##0.00"/>
    </dxf>
    <dxf>
      <numFmt numFmtId="14" formatCode="0.00%"/>
    </dxf>
    <dxf>
      <alignment horizontal="right" readingOrder="0"/>
    </dxf>
    <dxf>
      <alignment horizontal="right" readingOrder="0"/>
    </dxf>
    <dxf>
      <numFmt numFmtId="14" formatCode="0.00%"/>
    </dxf>
    <dxf>
      <alignment horizontal="right" readingOrder="0"/>
    </dxf>
    <dxf>
      <numFmt numFmtId="14" formatCode="0.00%"/>
    </dxf>
    <dxf>
      <numFmt numFmtId="169" formatCode="&quot;¥&quot;#,##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numFmt numFmtId="169" formatCode="&quot;¥&quot;#,##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numFmt numFmtId="169" formatCode="&quot;¥&quot;#,##0.00"/>
    </dxf>
    <dxf>
      <numFmt numFmtId="14" formatCode="0.00%"/>
    </dxf>
    <dxf>
      <alignment horizontal="right" readingOrder="0"/>
    </dxf>
    <dxf>
      <alignment horizontal="right" readingOrder="0"/>
    </dxf>
    <dxf>
      <numFmt numFmtId="14" formatCode="0.00%"/>
    </dxf>
    <dxf>
      <alignment horizontal="right" readingOrder="0"/>
    </dxf>
    <dxf>
      <numFmt numFmtId="169" formatCode="&quot;¥&quot;#,##0.0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numFmt numFmtId="169" formatCode="&quot;¥&quot;#,##0.0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14" formatCode="0.00%"/>
    </dxf>
    <dxf>
      <numFmt numFmtId="14"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customXml" Target="../customXml/item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microsoft.com/office/2007/relationships/slicerCache" Target="slicerCaches/slicerCache1.xml"/><Relationship Id="rId36" Type="http://schemas.openxmlformats.org/officeDocument/2006/relationships/customXml" Target="../customXml/item3.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connections" Target="connections.xml"/><Relationship Id="rId35" Type="http://schemas.openxmlformats.org/officeDocument/2006/relationships/customXml" Target="../customXml/item2.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Distributions!$A$21:$A$26</c:f>
              <c:strCache>
                <c:ptCount val="5"/>
                <c:pt idx="0">
                  <c:v>小于等于 24 个月</c:v>
                </c:pt>
                <c:pt idx="1">
                  <c:v>24-36 个月(含)</c:v>
                </c:pt>
                <c:pt idx="2">
                  <c:v>36-48 个月(含)</c:v>
                </c:pt>
                <c:pt idx="3">
                  <c:v>48-60 个月(含)</c:v>
                </c:pt>
                <c:pt idx="4">
                  <c:v>大于 60 个月</c:v>
                </c:pt>
              </c:strCache>
            </c:strRef>
          </c:cat>
          <c:val>
            <c:numRef>
              <c:f>Distributions!$B$21:$B$26</c:f>
              <c:numCache>
                <c:formatCode>[$¥-804]#,##0.00</c:formatCode>
                <c:ptCount val="5"/>
                <c:pt idx="0">
                  <c:v>5937503203.89007</c:v>
                </c:pt>
                <c:pt idx="1">
                  <c:v>12946491314.409971</c:v>
                </c:pt>
                <c:pt idx="2">
                  <c:v>63863101.549999997</c:v>
                </c:pt>
                <c:pt idx="3">
                  <c:v>1762773821.7599981</c:v>
                </c:pt>
                <c:pt idx="4">
                  <c:v>4347073736.6199846</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Distributions!$A$21:$A$26</c:f>
              <c:strCache>
                <c:ptCount val="5"/>
                <c:pt idx="0">
                  <c:v>小于等于 24 个月</c:v>
                </c:pt>
                <c:pt idx="1">
                  <c:v>24-36 个月(含)</c:v>
                </c:pt>
                <c:pt idx="2">
                  <c:v>36-48 个月(含)</c:v>
                </c:pt>
                <c:pt idx="3">
                  <c:v>48-60 个月(含)</c:v>
                </c:pt>
                <c:pt idx="4">
                  <c:v>大于 60 个月</c:v>
                </c:pt>
              </c:strCache>
            </c:strRef>
          </c:cat>
          <c:val>
            <c:numRef>
              <c:f>Distributions!$C$21:$C$26</c:f>
              <c:numCache>
                <c:formatCode>0.00%</c:formatCode>
                <c:ptCount val="5"/>
                <c:pt idx="0">
                  <c:v>0.23695319111059593</c:v>
                </c:pt>
                <c:pt idx="1">
                  <c:v>0.51666707794366917</c:v>
                </c:pt>
                <c:pt idx="2">
                  <c:v>2.5486412700507096E-3</c:v>
                </c:pt>
                <c:pt idx="3">
                  <c:v>7.0348573790847219E-2</c:v>
                </c:pt>
                <c:pt idx="4">
                  <c:v>0.1734825158848434</c:v>
                </c:pt>
              </c:numCache>
            </c:numRef>
          </c:val>
        </c:ser>
        <c:ser>
          <c:idx val="2"/>
          <c:order val="2"/>
          <c:tx>
            <c:strRef>
              <c:f>Distributions!$D$20</c:f>
              <c:strCache>
                <c:ptCount val="1"/>
                <c:pt idx="0">
                  <c:v>贷款笔数</c:v>
                </c:pt>
              </c:strCache>
            </c:strRef>
          </c:tx>
          <c:spPr>
            <a:solidFill>
              <a:schemeClr val="accent3"/>
            </a:solidFill>
            <a:ln>
              <a:noFill/>
            </a:ln>
            <a:effectLst/>
          </c:spPr>
          <c:invertIfNegative val="0"/>
          <c:cat>
            <c:strRef>
              <c:f>Distributions!$A$21:$A$26</c:f>
              <c:strCache>
                <c:ptCount val="5"/>
                <c:pt idx="0">
                  <c:v>小于等于 24 个月</c:v>
                </c:pt>
                <c:pt idx="1">
                  <c:v>24-36 个月(含)</c:v>
                </c:pt>
                <c:pt idx="2">
                  <c:v>36-48 个月(含)</c:v>
                </c:pt>
                <c:pt idx="3">
                  <c:v>48-60 个月(含)</c:v>
                </c:pt>
                <c:pt idx="4">
                  <c:v>大于 60 个月</c:v>
                </c:pt>
              </c:strCache>
            </c:strRef>
          </c:cat>
          <c:val>
            <c:numRef>
              <c:f>Distributions!$D$21:$D$26</c:f>
              <c:numCache>
                <c:formatCode>#,##0;\-#,##0</c:formatCode>
                <c:ptCount val="5"/>
                <c:pt idx="0">
                  <c:v>42598</c:v>
                </c:pt>
                <c:pt idx="1">
                  <c:v>219826</c:v>
                </c:pt>
                <c:pt idx="2">
                  <c:v>404</c:v>
                </c:pt>
                <c:pt idx="3">
                  <c:v>4594</c:v>
                </c:pt>
                <c:pt idx="4">
                  <c:v>12684</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Distributions!$A$21:$A$26</c:f>
              <c:strCache>
                <c:ptCount val="5"/>
                <c:pt idx="0">
                  <c:v>小于等于 24 个月</c:v>
                </c:pt>
                <c:pt idx="1">
                  <c:v>24-36 个月(含)</c:v>
                </c:pt>
                <c:pt idx="2">
                  <c:v>36-48 个月(含)</c:v>
                </c:pt>
                <c:pt idx="3">
                  <c:v>48-60 个月(含)</c:v>
                </c:pt>
                <c:pt idx="4">
                  <c:v>大于 60 个月</c:v>
                </c:pt>
              </c:strCache>
            </c:strRef>
          </c:cat>
          <c:val>
            <c:numRef>
              <c:f>Distributions!$E$21:$E$26</c:f>
              <c:numCache>
                <c:formatCode>0.00%</c:formatCode>
                <c:ptCount val="5"/>
                <c:pt idx="0">
                  <c:v>0.15207814184630106</c:v>
                </c:pt>
                <c:pt idx="1">
                  <c:v>0.78479575589241213</c:v>
                </c:pt>
                <c:pt idx="2">
                  <c:v>1.4423111250740791E-3</c:v>
                </c:pt>
                <c:pt idx="3">
                  <c:v>1.6400933932154256E-2</c:v>
                </c:pt>
                <c:pt idx="4">
                  <c:v>4.528285720405846E-2</c:v>
                </c:pt>
              </c:numCache>
            </c:numRef>
          </c:val>
        </c:ser>
        <c:ser>
          <c:idx val="4"/>
          <c:order val="4"/>
          <c:tx>
            <c:strRef>
              <c:f>Distributions!$F$20</c:f>
              <c:strCache>
                <c:ptCount val="1"/>
                <c:pt idx="0">
                  <c:v>合同金额</c:v>
                </c:pt>
              </c:strCache>
            </c:strRef>
          </c:tx>
          <c:spPr>
            <a:solidFill>
              <a:schemeClr val="accent5"/>
            </a:solidFill>
            <a:ln>
              <a:noFill/>
            </a:ln>
            <a:effectLst/>
          </c:spPr>
          <c:invertIfNegative val="0"/>
          <c:cat>
            <c:strRef>
              <c:f>Distributions!$A$21:$A$26</c:f>
              <c:strCache>
                <c:ptCount val="5"/>
                <c:pt idx="0">
                  <c:v>小于等于 24 个月</c:v>
                </c:pt>
                <c:pt idx="1">
                  <c:v>24-36 个月(含)</c:v>
                </c:pt>
                <c:pt idx="2">
                  <c:v>36-48 个月(含)</c:v>
                </c:pt>
                <c:pt idx="3">
                  <c:v>48-60 个月(含)</c:v>
                </c:pt>
                <c:pt idx="4">
                  <c:v>大于 60 个月</c:v>
                </c:pt>
              </c:strCache>
            </c:strRef>
          </c:cat>
          <c:val>
            <c:numRef>
              <c:f>Distributions!$F$21:$F$26</c:f>
              <c:numCache>
                <c:formatCode>"¥"#,##0.00</c:formatCode>
                <c:ptCount val="5"/>
                <c:pt idx="0">
                  <c:v>8453893354</c:v>
                </c:pt>
                <c:pt idx="1">
                  <c:v>25990210147</c:v>
                </c:pt>
                <c:pt idx="2">
                  <c:v>162121100</c:v>
                </c:pt>
                <c:pt idx="3">
                  <c:v>2256452000</c:v>
                </c:pt>
                <c:pt idx="4">
                  <c:v>5736812838</c:v>
                </c:pt>
              </c:numCache>
            </c:numRef>
          </c:val>
        </c:ser>
        <c:ser>
          <c:idx val="5"/>
          <c:order val="5"/>
          <c:tx>
            <c:strRef>
              <c:f>Distributions!$G$20</c:f>
              <c:strCache>
                <c:ptCount val="1"/>
                <c:pt idx="0">
                  <c:v>合同金额占比</c:v>
                </c:pt>
              </c:strCache>
            </c:strRef>
          </c:tx>
          <c:spPr>
            <a:solidFill>
              <a:schemeClr val="accent6"/>
            </a:solidFill>
            <a:ln>
              <a:noFill/>
            </a:ln>
            <a:effectLst/>
          </c:spPr>
          <c:invertIfNegative val="0"/>
          <c:cat>
            <c:strRef>
              <c:f>Distributions!$A$21:$A$26</c:f>
              <c:strCache>
                <c:ptCount val="5"/>
                <c:pt idx="0">
                  <c:v>小于等于 24 个月</c:v>
                </c:pt>
                <c:pt idx="1">
                  <c:v>24-36 个月(含)</c:v>
                </c:pt>
                <c:pt idx="2">
                  <c:v>36-48 个月(含)</c:v>
                </c:pt>
                <c:pt idx="3">
                  <c:v>48-60 个月(含)</c:v>
                </c:pt>
                <c:pt idx="4">
                  <c:v>大于 60 个月</c:v>
                </c:pt>
              </c:strCache>
            </c:strRef>
          </c:cat>
          <c:val>
            <c:numRef>
              <c:f>Distributions!$G$21:$G$26</c:f>
              <c:numCache>
                <c:formatCode>0.00%</c:formatCode>
                <c:ptCount val="5"/>
                <c:pt idx="0">
                  <c:v>0.19845057922831411</c:v>
                </c:pt>
                <c:pt idx="1">
                  <c:v>0.61010614186389422</c:v>
                </c:pt>
                <c:pt idx="2">
                  <c:v>3.8057052357903967E-3</c:v>
                </c:pt>
                <c:pt idx="3">
                  <c:v>5.2968991640876553E-2</c:v>
                </c:pt>
                <c:pt idx="4">
                  <c:v>0.13466858203112467</c:v>
                </c:pt>
              </c:numCache>
            </c:numRef>
          </c:val>
        </c:ser>
        <c:dLbls>
          <c:showLegendKey val="0"/>
          <c:showVal val="0"/>
          <c:showCatName val="0"/>
          <c:showSerName val="0"/>
          <c:showPercent val="0"/>
          <c:showBubbleSize val="0"/>
        </c:dLbls>
        <c:gapWidth val="150"/>
        <c:axId val="147011264"/>
        <c:axId val="147017792"/>
      </c:barChart>
      <c:catAx>
        <c:axId val="14701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7792"/>
        <c:crosses val="autoZero"/>
        <c:auto val="1"/>
        <c:lblAlgn val="ctr"/>
        <c:lblOffset val="100"/>
        <c:noMultiLvlLbl val="0"/>
      </c:catAx>
      <c:valAx>
        <c:axId val="1470177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Distributions!$J$20</c:f>
              <c:strCache>
                <c:ptCount val="1"/>
                <c:pt idx="0">
                  <c:v>本金余额</c:v>
                </c:pt>
              </c:strCache>
            </c:strRef>
          </c:tx>
          <c:spPr>
            <a:solidFill>
              <a:schemeClr val="accent1"/>
            </a:solidFill>
            <a:ln>
              <a:noFill/>
            </a:ln>
            <a:effectLst/>
          </c:spPr>
          <c:invertIfNegative val="0"/>
          <c:cat>
            <c:strRef>
              <c:f>Distributions!$I$21:$I$24</c:f>
              <c:strCache>
                <c:ptCount val="3"/>
                <c:pt idx="0">
                  <c:v>12（含）-15 个月（不含）</c:v>
                </c:pt>
                <c:pt idx="1">
                  <c:v>24（含）-27 个月（不含）</c:v>
                </c:pt>
                <c:pt idx="2">
                  <c:v>36（含）-39 个月（不含）</c:v>
                </c:pt>
              </c:strCache>
            </c:strRef>
          </c:cat>
          <c:val>
            <c:numRef>
              <c:f>Distributions!$J$21:$J$24</c:f>
              <c:numCache>
                <c:formatCode>[$¥-804]#,##0.00</c:formatCode>
                <c:ptCount val="3"/>
                <c:pt idx="0">
                  <c:v>9042449154.9199314</c:v>
                </c:pt>
                <c:pt idx="1">
                  <c:v>8270078923.6898785</c:v>
                </c:pt>
                <c:pt idx="2">
                  <c:v>7745177099.6200104</c:v>
                </c:pt>
              </c:numCache>
            </c:numRef>
          </c:val>
        </c:ser>
        <c:ser>
          <c:idx val="1"/>
          <c:order val="1"/>
          <c:tx>
            <c:strRef>
              <c:f>Distributions!$K$20</c:f>
              <c:strCache>
                <c:ptCount val="1"/>
                <c:pt idx="0">
                  <c:v>本金余额占比</c:v>
                </c:pt>
              </c:strCache>
            </c:strRef>
          </c:tx>
          <c:spPr>
            <a:solidFill>
              <a:schemeClr val="accent2"/>
            </a:solidFill>
            <a:ln>
              <a:noFill/>
            </a:ln>
            <a:effectLst/>
          </c:spPr>
          <c:invertIfNegative val="0"/>
          <c:cat>
            <c:strRef>
              <c:f>Distributions!$I$21:$I$24</c:f>
              <c:strCache>
                <c:ptCount val="3"/>
                <c:pt idx="0">
                  <c:v>12（含）-15 个月（不含）</c:v>
                </c:pt>
                <c:pt idx="1">
                  <c:v>24（含）-27 个月（不含）</c:v>
                </c:pt>
                <c:pt idx="2">
                  <c:v>36（含）-39 个月（不含）</c:v>
                </c:pt>
              </c:strCache>
            </c:strRef>
          </c:cat>
          <c:val>
            <c:numRef>
              <c:f>Distributions!$K$21:$K$24</c:f>
              <c:numCache>
                <c:formatCode>0.00%</c:formatCode>
                <c:ptCount val="3"/>
                <c:pt idx="0">
                  <c:v>0.36086501499650547</c:v>
                </c:pt>
                <c:pt idx="1">
                  <c:v>0.33004135314334071</c:v>
                </c:pt>
                <c:pt idx="2">
                  <c:v>0.30909363186015221</c:v>
                </c:pt>
              </c:numCache>
            </c:numRef>
          </c:val>
        </c:ser>
        <c:ser>
          <c:idx val="2"/>
          <c:order val="2"/>
          <c:tx>
            <c:strRef>
              <c:f>Distributions!$L$20</c:f>
              <c:strCache>
                <c:ptCount val="1"/>
                <c:pt idx="0">
                  <c:v>贷款笔数</c:v>
                </c:pt>
              </c:strCache>
            </c:strRef>
          </c:tx>
          <c:spPr>
            <a:solidFill>
              <a:schemeClr val="accent3"/>
            </a:solidFill>
            <a:ln>
              <a:noFill/>
            </a:ln>
            <a:effectLst/>
          </c:spPr>
          <c:invertIfNegative val="0"/>
          <c:cat>
            <c:strRef>
              <c:f>Distributions!$I$21:$I$24</c:f>
              <c:strCache>
                <c:ptCount val="3"/>
                <c:pt idx="0">
                  <c:v>12（含）-15 个月（不含）</c:v>
                </c:pt>
                <c:pt idx="1">
                  <c:v>24（含）-27 个月（不含）</c:v>
                </c:pt>
                <c:pt idx="2">
                  <c:v>36（含）-39 个月（不含）</c:v>
                </c:pt>
              </c:strCache>
            </c:strRef>
          </c:cat>
          <c:val>
            <c:numRef>
              <c:f>Distributions!$L$21:$L$24</c:f>
              <c:numCache>
                <c:formatCode>#,##0;\-#,##0</c:formatCode>
                <c:ptCount val="3"/>
                <c:pt idx="0">
                  <c:v>71533</c:v>
                </c:pt>
                <c:pt idx="1">
                  <c:v>149683</c:v>
                </c:pt>
                <c:pt idx="2">
                  <c:v>58890</c:v>
                </c:pt>
              </c:numCache>
            </c:numRef>
          </c:val>
        </c:ser>
        <c:ser>
          <c:idx val="3"/>
          <c:order val="3"/>
          <c:tx>
            <c:strRef>
              <c:f>Distributions!$M$20</c:f>
              <c:strCache>
                <c:ptCount val="1"/>
                <c:pt idx="0">
                  <c:v>贷款笔数占比</c:v>
                </c:pt>
              </c:strCache>
            </c:strRef>
          </c:tx>
          <c:spPr>
            <a:solidFill>
              <a:schemeClr val="accent4"/>
            </a:solidFill>
            <a:ln>
              <a:noFill/>
            </a:ln>
            <a:effectLst/>
          </c:spPr>
          <c:invertIfNegative val="0"/>
          <c:cat>
            <c:strRef>
              <c:f>Distributions!$I$21:$I$24</c:f>
              <c:strCache>
                <c:ptCount val="3"/>
                <c:pt idx="0">
                  <c:v>12（含）-15 个月（不含）</c:v>
                </c:pt>
                <c:pt idx="1">
                  <c:v>24（含）-27 个月（不含）</c:v>
                </c:pt>
                <c:pt idx="2">
                  <c:v>36（含）-39 个月（不含）</c:v>
                </c:pt>
              </c:strCache>
            </c:strRef>
          </c:cat>
          <c:val>
            <c:numRef>
              <c:f>Distributions!$M$21:$M$24</c:f>
              <c:numCache>
                <c:formatCode>0.00%</c:formatCode>
                <c:ptCount val="3"/>
                <c:pt idx="0">
                  <c:v>0.25537832106416858</c:v>
                </c:pt>
                <c:pt idx="1">
                  <c:v>0.53437984191698862</c:v>
                </c:pt>
                <c:pt idx="2">
                  <c:v>0.21024183701884286</c:v>
                </c:pt>
              </c:numCache>
            </c:numRef>
          </c:val>
        </c:ser>
        <c:ser>
          <c:idx val="4"/>
          <c:order val="4"/>
          <c:tx>
            <c:strRef>
              <c:f>Distributions!$N$20</c:f>
              <c:strCache>
                <c:ptCount val="1"/>
                <c:pt idx="0">
                  <c:v>合同金额</c:v>
                </c:pt>
              </c:strCache>
            </c:strRef>
          </c:tx>
          <c:spPr>
            <a:solidFill>
              <a:schemeClr val="accent5"/>
            </a:solidFill>
            <a:ln>
              <a:noFill/>
            </a:ln>
            <a:effectLst/>
          </c:spPr>
          <c:invertIfNegative val="0"/>
          <c:cat>
            <c:strRef>
              <c:f>Distributions!$I$21:$I$24</c:f>
              <c:strCache>
                <c:ptCount val="3"/>
                <c:pt idx="0">
                  <c:v>12（含）-15 个月（不含）</c:v>
                </c:pt>
                <c:pt idx="1">
                  <c:v>24（含）-27 个月（不含）</c:v>
                </c:pt>
                <c:pt idx="2">
                  <c:v>36（含）-39 个月（不含）</c:v>
                </c:pt>
              </c:strCache>
            </c:strRef>
          </c:cat>
          <c:val>
            <c:numRef>
              <c:f>Distributions!$N$21:$N$24</c:f>
              <c:numCache>
                <c:formatCode>"¥"#,##0.00</c:formatCode>
                <c:ptCount val="3"/>
                <c:pt idx="0">
                  <c:v>11309841912</c:v>
                </c:pt>
                <c:pt idx="1">
                  <c:v>17262047979</c:v>
                </c:pt>
                <c:pt idx="2">
                  <c:v>14027599548</c:v>
                </c:pt>
              </c:numCache>
            </c:numRef>
          </c:val>
        </c:ser>
        <c:ser>
          <c:idx val="5"/>
          <c:order val="5"/>
          <c:tx>
            <c:strRef>
              <c:f>Distributions!$O$20</c:f>
              <c:strCache>
                <c:ptCount val="1"/>
                <c:pt idx="0">
                  <c:v>合同金额占比</c:v>
                </c:pt>
              </c:strCache>
            </c:strRef>
          </c:tx>
          <c:spPr>
            <a:solidFill>
              <a:schemeClr val="accent6"/>
            </a:solidFill>
            <a:ln>
              <a:noFill/>
            </a:ln>
            <a:effectLst/>
          </c:spPr>
          <c:invertIfNegative val="0"/>
          <c:cat>
            <c:strRef>
              <c:f>Distributions!$I$21:$I$24</c:f>
              <c:strCache>
                <c:ptCount val="3"/>
                <c:pt idx="0">
                  <c:v>12（含）-15 个月（不含）</c:v>
                </c:pt>
                <c:pt idx="1">
                  <c:v>24（含）-27 个月（不含）</c:v>
                </c:pt>
                <c:pt idx="2">
                  <c:v>36（含）-39 个月（不含）</c:v>
                </c:pt>
              </c:strCache>
            </c:strRef>
          </c:cat>
          <c:val>
            <c:numRef>
              <c:f>Distributions!$O$21:$O$24</c:f>
              <c:numCache>
                <c:formatCode>0.00%</c:formatCode>
                <c:ptCount val="3"/>
                <c:pt idx="0">
                  <c:v>0.2654924286873212</c:v>
                </c:pt>
                <c:pt idx="1">
                  <c:v>0.40521725040198553</c:v>
                </c:pt>
                <c:pt idx="2">
                  <c:v>0.32929032091069332</c:v>
                </c:pt>
              </c:numCache>
            </c:numRef>
          </c:val>
        </c:ser>
        <c:dLbls>
          <c:showLegendKey val="0"/>
          <c:showVal val="0"/>
          <c:showCatName val="0"/>
          <c:showSerName val="0"/>
          <c:showPercent val="0"/>
          <c:showBubbleSize val="0"/>
        </c:dLbls>
        <c:gapWidth val="150"/>
        <c:axId val="147010720"/>
        <c:axId val="147022144"/>
      </c:barChart>
      <c:catAx>
        <c:axId val="14701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22144"/>
        <c:crosses val="autoZero"/>
        <c:auto val="1"/>
        <c:lblAlgn val="ctr"/>
        <c:lblOffset val="100"/>
        <c:noMultiLvlLbl val="0"/>
      </c:catAx>
      <c:valAx>
        <c:axId val="1470221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0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Distributions!$R$20</c:f>
              <c:strCache>
                <c:ptCount val="1"/>
                <c:pt idx="0">
                  <c:v>本金余额</c:v>
                </c:pt>
              </c:strCache>
            </c:strRef>
          </c:tx>
          <c:spPr>
            <a:solidFill>
              <a:schemeClr val="accent1"/>
            </a:solidFill>
            <a:ln>
              <a:noFill/>
            </a:ln>
            <a:effectLst/>
          </c:spPr>
          <c:invertIfNegative val="0"/>
          <c:cat>
            <c:strRef>
              <c:f>Distributions!$Q$21:$Q$26</c:f>
              <c:strCache>
                <c:ptCount val="5"/>
                <c:pt idx="0">
                  <c:v>小于等于 24 个月</c:v>
                </c:pt>
                <c:pt idx="1">
                  <c:v>24-36 个月(含)</c:v>
                </c:pt>
                <c:pt idx="2">
                  <c:v>36-48 个月(含)</c:v>
                </c:pt>
                <c:pt idx="3">
                  <c:v>48-60 个月(含)</c:v>
                </c:pt>
                <c:pt idx="4">
                  <c:v>大于 60 个月</c:v>
                </c:pt>
              </c:strCache>
            </c:strRef>
          </c:cat>
          <c:val>
            <c:numRef>
              <c:f>Distributions!$R$21:$R$26</c:f>
              <c:numCache>
                <c:formatCode>[$¥-804]#,##0.00</c:formatCode>
                <c:ptCount val="5"/>
                <c:pt idx="0">
                  <c:v>15233731703.940161</c:v>
                </c:pt>
                <c:pt idx="1">
                  <c:v>3951891483.3500252</c:v>
                </c:pt>
                <c:pt idx="2">
                  <c:v>523616969.1200003</c:v>
                </c:pt>
                <c:pt idx="3">
                  <c:v>1212403809.9399984</c:v>
                </c:pt>
                <c:pt idx="4">
                  <c:v>4136061211.8799911</c:v>
                </c:pt>
              </c:numCache>
            </c:numRef>
          </c:val>
        </c:ser>
        <c:ser>
          <c:idx val="1"/>
          <c:order val="1"/>
          <c:tx>
            <c:strRef>
              <c:f>Distributions!$S$20</c:f>
              <c:strCache>
                <c:ptCount val="1"/>
                <c:pt idx="0">
                  <c:v>本金余额占比</c:v>
                </c:pt>
              </c:strCache>
            </c:strRef>
          </c:tx>
          <c:spPr>
            <a:solidFill>
              <a:schemeClr val="accent2"/>
            </a:solidFill>
            <a:ln>
              <a:noFill/>
            </a:ln>
            <a:effectLst/>
          </c:spPr>
          <c:invertIfNegative val="0"/>
          <c:cat>
            <c:strRef>
              <c:f>Distributions!$Q$21:$Q$26</c:f>
              <c:strCache>
                <c:ptCount val="5"/>
                <c:pt idx="0">
                  <c:v>小于等于 24 个月</c:v>
                </c:pt>
                <c:pt idx="1">
                  <c:v>24-36 个月(含)</c:v>
                </c:pt>
                <c:pt idx="2">
                  <c:v>36-48 个月(含)</c:v>
                </c:pt>
                <c:pt idx="3">
                  <c:v>48-60 个月(含)</c:v>
                </c:pt>
                <c:pt idx="4">
                  <c:v>大于 60 个月</c:v>
                </c:pt>
              </c:strCache>
            </c:strRef>
          </c:cat>
          <c:val>
            <c:numRef>
              <c:f>Distributions!$S$21:$S$26</c:f>
              <c:numCache>
                <c:formatCode>0.00%</c:formatCode>
                <c:ptCount val="5"/>
                <c:pt idx="0">
                  <c:v>0.60794600285964051</c:v>
                </c:pt>
                <c:pt idx="1">
                  <c:v>0.1577116282293651</c:v>
                </c:pt>
                <c:pt idx="2">
                  <c:v>2.0896445440459519E-2</c:v>
                </c:pt>
                <c:pt idx="3">
                  <c:v>4.8384471016656987E-2</c:v>
                </c:pt>
                <c:pt idx="4">
                  <c:v>0.16506145245389037</c:v>
                </c:pt>
              </c:numCache>
            </c:numRef>
          </c:val>
        </c:ser>
        <c:ser>
          <c:idx val="2"/>
          <c:order val="2"/>
          <c:tx>
            <c:strRef>
              <c:f>Distributions!$T$20</c:f>
              <c:strCache>
                <c:ptCount val="1"/>
                <c:pt idx="0">
                  <c:v>贷款笔数</c:v>
                </c:pt>
              </c:strCache>
            </c:strRef>
          </c:tx>
          <c:spPr>
            <a:solidFill>
              <a:schemeClr val="accent3"/>
            </a:solidFill>
            <a:ln>
              <a:noFill/>
            </a:ln>
            <a:effectLst/>
          </c:spPr>
          <c:invertIfNegative val="0"/>
          <c:cat>
            <c:strRef>
              <c:f>Distributions!$Q$21:$Q$26</c:f>
              <c:strCache>
                <c:ptCount val="5"/>
                <c:pt idx="0">
                  <c:v>小于等于 24 个月</c:v>
                </c:pt>
                <c:pt idx="1">
                  <c:v>24-36 个月(含)</c:v>
                </c:pt>
                <c:pt idx="2">
                  <c:v>36-48 个月(含)</c:v>
                </c:pt>
                <c:pt idx="3">
                  <c:v>48-60 个月(含)</c:v>
                </c:pt>
                <c:pt idx="4">
                  <c:v>大于 60 个月</c:v>
                </c:pt>
              </c:strCache>
            </c:strRef>
          </c:cat>
          <c:val>
            <c:numRef>
              <c:f>Distributions!$T$21:$T$26</c:f>
              <c:numCache>
                <c:formatCode>#,##0;\-#,##0</c:formatCode>
                <c:ptCount val="5"/>
                <c:pt idx="0">
                  <c:v>217177</c:v>
                </c:pt>
                <c:pt idx="1">
                  <c:v>46673</c:v>
                </c:pt>
                <c:pt idx="2">
                  <c:v>1650</c:v>
                </c:pt>
                <c:pt idx="3">
                  <c:v>2880</c:v>
                </c:pt>
                <c:pt idx="4">
                  <c:v>11726</c:v>
                </c:pt>
              </c:numCache>
            </c:numRef>
          </c:val>
        </c:ser>
        <c:ser>
          <c:idx val="3"/>
          <c:order val="3"/>
          <c:tx>
            <c:strRef>
              <c:f>Distributions!$U$20</c:f>
              <c:strCache>
                <c:ptCount val="1"/>
                <c:pt idx="0">
                  <c:v>贷款笔数占比</c:v>
                </c:pt>
              </c:strCache>
            </c:strRef>
          </c:tx>
          <c:spPr>
            <a:solidFill>
              <a:schemeClr val="accent4"/>
            </a:solidFill>
            <a:ln>
              <a:noFill/>
            </a:ln>
            <a:effectLst/>
          </c:spPr>
          <c:invertIfNegative val="0"/>
          <c:cat>
            <c:strRef>
              <c:f>Distributions!$Q$21:$Q$26</c:f>
              <c:strCache>
                <c:ptCount val="5"/>
                <c:pt idx="0">
                  <c:v>小于等于 24 个月</c:v>
                </c:pt>
                <c:pt idx="1">
                  <c:v>24-36 个月(含)</c:v>
                </c:pt>
                <c:pt idx="2">
                  <c:v>36-48 个月(含)</c:v>
                </c:pt>
                <c:pt idx="3">
                  <c:v>48-60 个月(含)</c:v>
                </c:pt>
                <c:pt idx="4">
                  <c:v>大于 60 个月</c:v>
                </c:pt>
              </c:strCache>
            </c:strRef>
          </c:cat>
          <c:val>
            <c:numRef>
              <c:f>Distributions!$U$21:$U$26</c:f>
              <c:numCache>
                <c:formatCode>0.00%</c:formatCode>
                <c:ptCount val="5"/>
                <c:pt idx="0">
                  <c:v>0.77533862180745861</c:v>
                </c:pt>
                <c:pt idx="1">
                  <c:v>0.16662620579352103</c:v>
                </c:pt>
                <c:pt idx="2">
                  <c:v>5.890627119733244E-3</c:v>
                </c:pt>
                <c:pt idx="3">
                  <c:v>1.0281821881716207E-2</c:v>
                </c:pt>
                <c:pt idx="4">
                  <c:v>4.1862723397570918E-2</c:v>
                </c:pt>
              </c:numCache>
            </c:numRef>
          </c:val>
        </c:ser>
        <c:ser>
          <c:idx val="4"/>
          <c:order val="4"/>
          <c:tx>
            <c:strRef>
              <c:f>Distributions!$V$20</c:f>
              <c:strCache>
                <c:ptCount val="1"/>
                <c:pt idx="0">
                  <c:v>合同金额</c:v>
                </c:pt>
              </c:strCache>
            </c:strRef>
          </c:tx>
          <c:spPr>
            <a:solidFill>
              <a:schemeClr val="accent5"/>
            </a:solidFill>
            <a:ln>
              <a:noFill/>
            </a:ln>
            <a:effectLst/>
          </c:spPr>
          <c:invertIfNegative val="0"/>
          <c:cat>
            <c:strRef>
              <c:f>Distributions!$Q$21:$Q$26</c:f>
              <c:strCache>
                <c:ptCount val="5"/>
                <c:pt idx="0">
                  <c:v>小于等于 24 个月</c:v>
                </c:pt>
                <c:pt idx="1">
                  <c:v>24-36 个月(含)</c:v>
                </c:pt>
                <c:pt idx="2">
                  <c:v>36-48 个月(含)</c:v>
                </c:pt>
                <c:pt idx="3">
                  <c:v>48-60 个月(含)</c:v>
                </c:pt>
                <c:pt idx="4">
                  <c:v>大于 60 个月</c:v>
                </c:pt>
              </c:strCache>
            </c:strRef>
          </c:cat>
          <c:val>
            <c:numRef>
              <c:f>Distributions!$V$21:$V$26</c:f>
              <c:numCache>
                <c:formatCode>"¥"#,##0.00</c:formatCode>
                <c:ptCount val="5"/>
                <c:pt idx="0">
                  <c:v>29556223162</c:v>
                </c:pt>
                <c:pt idx="1">
                  <c:v>5592411639</c:v>
                </c:pt>
                <c:pt idx="2">
                  <c:v>810544000</c:v>
                </c:pt>
                <c:pt idx="3">
                  <c:v>1405908000</c:v>
                </c:pt>
                <c:pt idx="4">
                  <c:v>5234402638</c:v>
                </c:pt>
              </c:numCache>
            </c:numRef>
          </c:val>
        </c:ser>
        <c:ser>
          <c:idx val="5"/>
          <c:order val="5"/>
          <c:tx>
            <c:strRef>
              <c:f>Distributions!$W$20</c:f>
              <c:strCache>
                <c:ptCount val="1"/>
                <c:pt idx="0">
                  <c:v>合同金额占比</c:v>
                </c:pt>
              </c:strCache>
            </c:strRef>
          </c:tx>
          <c:spPr>
            <a:solidFill>
              <a:schemeClr val="accent6"/>
            </a:solidFill>
            <a:ln>
              <a:noFill/>
            </a:ln>
            <a:effectLst/>
          </c:spPr>
          <c:invertIfNegative val="0"/>
          <c:cat>
            <c:strRef>
              <c:f>Distributions!$Q$21:$Q$26</c:f>
              <c:strCache>
                <c:ptCount val="5"/>
                <c:pt idx="0">
                  <c:v>小于等于 24 个月</c:v>
                </c:pt>
                <c:pt idx="1">
                  <c:v>24-36 个月(含)</c:v>
                </c:pt>
                <c:pt idx="2">
                  <c:v>36-48 个月(含)</c:v>
                </c:pt>
                <c:pt idx="3">
                  <c:v>48-60 个月(含)</c:v>
                </c:pt>
                <c:pt idx="4">
                  <c:v>大于 60 个月</c:v>
                </c:pt>
              </c:strCache>
            </c:strRef>
          </c:cat>
          <c:val>
            <c:numRef>
              <c:f>Distributions!$W$21:$W$26</c:f>
              <c:numCache>
                <c:formatCode>0.00%</c:formatCode>
                <c:ptCount val="5"/>
                <c:pt idx="0">
                  <c:v>0.69381637083521386</c:v>
                </c:pt>
                <c:pt idx="1">
                  <c:v>0.13127884189804692</c:v>
                </c:pt>
                <c:pt idx="2">
                  <c:v>1.9027082499677654E-2</c:v>
                </c:pt>
                <c:pt idx="3">
                  <c:v>3.3002930751392663E-2</c:v>
                </c:pt>
                <c:pt idx="4">
                  <c:v>0.12287477401566893</c:v>
                </c:pt>
              </c:numCache>
            </c:numRef>
          </c:val>
        </c:ser>
        <c:dLbls>
          <c:showLegendKey val="0"/>
          <c:showVal val="0"/>
          <c:showCatName val="0"/>
          <c:showSerName val="0"/>
          <c:showPercent val="0"/>
          <c:showBubbleSize val="0"/>
        </c:dLbls>
        <c:gapWidth val="219"/>
        <c:overlap val="-27"/>
        <c:axId val="147018880"/>
        <c:axId val="147006912"/>
      </c:barChart>
      <c:catAx>
        <c:axId val="14701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06912"/>
        <c:crosses val="autoZero"/>
        <c:auto val="1"/>
        <c:lblAlgn val="ctr"/>
        <c:lblOffset val="100"/>
        <c:noMultiLvlLbl val="0"/>
      </c:catAx>
      <c:valAx>
        <c:axId val="14700691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8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Distributions!$Y$21:$Y$28</c:f>
              <c:strCache>
                <c:ptCount val="7"/>
                <c:pt idx="0">
                  <c:v>0（不含）% - 0.5（含）%</c:v>
                </c:pt>
                <c:pt idx="1">
                  <c:v>0.5（不含）% - 1（含）%</c:v>
                </c:pt>
                <c:pt idx="2">
                  <c:v>1（不含）% - 1.5（含）%</c:v>
                </c:pt>
                <c:pt idx="3">
                  <c:v>1.5（不含）% - 2（含）%</c:v>
                </c:pt>
                <c:pt idx="4">
                  <c:v>2（不含）% - 2.5（含）%</c:v>
                </c:pt>
                <c:pt idx="5">
                  <c:v>2.5（不含）% - 3（含）%</c:v>
                </c:pt>
                <c:pt idx="6">
                  <c:v>3（不含）% - 3.5（含）%</c:v>
                </c:pt>
              </c:strCache>
            </c:strRef>
          </c:cat>
          <c:val>
            <c:numRef>
              <c:f>Distributions!$Z$21:$Z$28</c:f>
              <c:numCache>
                <c:formatCode>[$¥-804]#,##0.00</c:formatCode>
                <c:ptCount val="7"/>
                <c:pt idx="0">
                  <c:v>25031094747.700176</c:v>
                </c:pt>
                <c:pt idx="1">
                  <c:v>15736211.49</c:v>
                </c:pt>
                <c:pt idx="2">
                  <c:v>2289561.7499999991</c:v>
                </c:pt>
                <c:pt idx="3">
                  <c:v>5800621.2600000007</c:v>
                </c:pt>
                <c:pt idx="4">
                  <c:v>59536.71</c:v>
                </c:pt>
                <c:pt idx="5">
                  <c:v>736084.89</c:v>
                </c:pt>
                <c:pt idx="6">
                  <c:v>1988414.43</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Distributions!$Y$21:$Y$28</c:f>
              <c:strCache>
                <c:ptCount val="7"/>
                <c:pt idx="0">
                  <c:v>0（不含）% - 0.5（含）%</c:v>
                </c:pt>
                <c:pt idx="1">
                  <c:v>0.5（不含）% - 1（含）%</c:v>
                </c:pt>
                <c:pt idx="2">
                  <c:v>1（不含）% - 1.5（含）%</c:v>
                </c:pt>
                <c:pt idx="3">
                  <c:v>1.5（不含）% - 2（含）%</c:v>
                </c:pt>
                <c:pt idx="4">
                  <c:v>2（不含）% - 2.5（含）%</c:v>
                </c:pt>
                <c:pt idx="5">
                  <c:v>2.5（不含）% - 3（含）%</c:v>
                </c:pt>
                <c:pt idx="6">
                  <c:v>3（不含）% - 3.5（含）%</c:v>
                </c:pt>
              </c:strCache>
            </c:strRef>
          </c:cat>
          <c:val>
            <c:numRef>
              <c:f>Distributions!$AA$21:$AA$28</c:f>
              <c:numCache>
                <c:formatCode>0.00%</c:formatCode>
                <c:ptCount val="7"/>
                <c:pt idx="0">
                  <c:v>0.99893803401626713</c:v>
                </c:pt>
                <c:pt idx="1">
                  <c:v>6.2799890804332808E-4</c:v>
                </c:pt>
                <c:pt idx="2">
                  <c:v>9.1371565501104646E-5</c:v>
                </c:pt>
                <c:pt idx="3">
                  <c:v>2.3149052232602615E-4</c:v>
                </c:pt>
                <c:pt idx="4">
                  <c:v>2.37598413647733E-6</c:v>
                </c:pt>
                <c:pt idx="5">
                  <c:v>2.9375590652232218E-5</c:v>
                </c:pt>
                <c:pt idx="6">
                  <c:v>7.9353413086188544E-5</c:v>
                </c:pt>
              </c:numCache>
            </c:numRef>
          </c:val>
        </c:ser>
        <c:ser>
          <c:idx val="2"/>
          <c:order val="2"/>
          <c:tx>
            <c:strRef>
              <c:f>Distributions!$AB$20</c:f>
              <c:strCache>
                <c:ptCount val="1"/>
                <c:pt idx="0">
                  <c:v>贷款笔数</c:v>
                </c:pt>
              </c:strCache>
            </c:strRef>
          </c:tx>
          <c:spPr>
            <a:solidFill>
              <a:schemeClr val="accent3"/>
            </a:solidFill>
            <a:ln>
              <a:noFill/>
            </a:ln>
            <a:effectLst/>
          </c:spPr>
          <c:invertIfNegative val="0"/>
          <c:cat>
            <c:strRef>
              <c:f>Distributions!$Y$21:$Y$28</c:f>
              <c:strCache>
                <c:ptCount val="7"/>
                <c:pt idx="0">
                  <c:v>0（不含）% - 0.5（含）%</c:v>
                </c:pt>
                <c:pt idx="1">
                  <c:v>0.5（不含）% - 1（含）%</c:v>
                </c:pt>
                <c:pt idx="2">
                  <c:v>1（不含）% - 1.5（含）%</c:v>
                </c:pt>
                <c:pt idx="3">
                  <c:v>1.5（不含）% - 2（含）%</c:v>
                </c:pt>
                <c:pt idx="4">
                  <c:v>2（不含）% - 2.5（含）%</c:v>
                </c:pt>
                <c:pt idx="5">
                  <c:v>2.5（不含）% - 3（含）%</c:v>
                </c:pt>
                <c:pt idx="6">
                  <c:v>3（不含）% - 3.5（含）%</c:v>
                </c:pt>
              </c:strCache>
            </c:strRef>
          </c:cat>
          <c:val>
            <c:numRef>
              <c:f>Distributions!$AB$21:$AB$28</c:f>
              <c:numCache>
                <c:formatCode>#,##0;\-#,##0</c:formatCode>
                <c:ptCount val="7"/>
                <c:pt idx="0">
                  <c:v>278012</c:v>
                </c:pt>
                <c:pt idx="1">
                  <c:v>1380</c:v>
                </c:pt>
                <c:pt idx="2">
                  <c:v>357</c:v>
                </c:pt>
                <c:pt idx="3">
                  <c:v>279</c:v>
                </c:pt>
                <c:pt idx="4">
                  <c:v>9</c:v>
                </c:pt>
                <c:pt idx="5">
                  <c:v>15</c:v>
                </c:pt>
                <c:pt idx="6">
                  <c:v>54</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Distributions!$Y$21:$Y$28</c:f>
              <c:strCache>
                <c:ptCount val="7"/>
                <c:pt idx="0">
                  <c:v>0（不含）% - 0.5（含）%</c:v>
                </c:pt>
                <c:pt idx="1">
                  <c:v>0.5（不含）% - 1（含）%</c:v>
                </c:pt>
                <c:pt idx="2">
                  <c:v>1（不含）% - 1.5（含）%</c:v>
                </c:pt>
                <c:pt idx="3">
                  <c:v>1.5（不含）% - 2（含）%</c:v>
                </c:pt>
                <c:pt idx="4">
                  <c:v>2（不含）% - 2.5（含）%</c:v>
                </c:pt>
                <c:pt idx="5">
                  <c:v>2.5（不含）% - 3（含）%</c:v>
                </c:pt>
                <c:pt idx="6">
                  <c:v>3（不含）% - 3.5（含）%</c:v>
                </c:pt>
              </c:strCache>
            </c:strRef>
          </c:cat>
          <c:val>
            <c:numRef>
              <c:f>Distributions!$AC$21:$AC$28</c:f>
              <c:numCache>
                <c:formatCode>0.00%</c:formatCode>
                <c:ptCount val="7"/>
                <c:pt idx="0">
                  <c:v>0.99252425867350214</c:v>
                </c:pt>
                <c:pt idx="1">
                  <c:v>4.9267063183223497E-3</c:v>
                </c:pt>
                <c:pt idx="2">
                  <c:v>1.2745175040877383E-3</c:v>
                </c:pt>
                <c:pt idx="3">
                  <c:v>9.9605149479125763E-4</c:v>
                </c:pt>
                <c:pt idx="4">
                  <c:v>3.2130693380363148E-5</c:v>
                </c:pt>
                <c:pt idx="5">
                  <c:v>5.355115563393858E-5</c:v>
                </c:pt>
                <c:pt idx="6">
                  <c:v>1.9278416028217888E-4</c:v>
                </c:pt>
              </c:numCache>
            </c:numRef>
          </c:val>
        </c:ser>
        <c:ser>
          <c:idx val="4"/>
          <c:order val="4"/>
          <c:tx>
            <c:strRef>
              <c:f>Distributions!$AD$20</c:f>
              <c:strCache>
                <c:ptCount val="1"/>
                <c:pt idx="0">
                  <c:v>合同金额</c:v>
                </c:pt>
              </c:strCache>
            </c:strRef>
          </c:tx>
          <c:spPr>
            <a:solidFill>
              <a:schemeClr val="accent5"/>
            </a:solidFill>
            <a:ln>
              <a:noFill/>
            </a:ln>
            <a:effectLst/>
          </c:spPr>
          <c:invertIfNegative val="0"/>
          <c:cat>
            <c:strRef>
              <c:f>Distributions!$Y$21:$Y$28</c:f>
              <c:strCache>
                <c:ptCount val="7"/>
                <c:pt idx="0">
                  <c:v>0（不含）% - 0.5（含）%</c:v>
                </c:pt>
                <c:pt idx="1">
                  <c:v>0.5（不含）% - 1（含）%</c:v>
                </c:pt>
                <c:pt idx="2">
                  <c:v>1（不含）% - 1.5（含）%</c:v>
                </c:pt>
                <c:pt idx="3">
                  <c:v>1.5（不含）% - 2（含）%</c:v>
                </c:pt>
                <c:pt idx="4">
                  <c:v>2（不含）% - 2.5（含）%</c:v>
                </c:pt>
                <c:pt idx="5">
                  <c:v>2.5（不含）% - 3（含）%</c:v>
                </c:pt>
                <c:pt idx="6">
                  <c:v>3（不含）% - 3.5（含）%</c:v>
                </c:pt>
              </c:strCache>
            </c:strRef>
          </c:cat>
          <c:val>
            <c:numRef>
              <c:f>Distributions!$AD$21:$AD$28</c:f>
              <c:numCache>
                <c:formatCode>"¥"#,##0.00</c:formatCode>
                <c:ptCount val="7"/>
                <c:pt idx="0">
                  <c:v>42344366139</c:v>
                </c:pt>
                <c:pt idx="1">
                  <c:v>163587300</c:v>
                </c:pt>
                <c:pt idx="2">
                  <c:v>44712000</c:v>
                </c:pt>
                <c:pt idx="3">
                  <c:v>37749000</c:v>
                </c:pt>
                <c:pt idx="4">
                  <c:v>810000</c:v>
                </c:pt>
                <c:pt idx="5">
                  <c:v>1563000</c:v>
                </c:pt>
                <c:pt idx="6">
                  <c:v>6702000</c:v>
                </c:pt>
              </c:numCache>
            </c:numRef>
          </c:val>
        </c:ser>
        <c:ser>
          <c:idx val="5"/>
          <c:order val="5"/>
          <c:tx>
            <c:strRef>
              <c:f>Distributions!$AE$20</c:f>
              <c:strCache>
                <c:ptCount val="1"/>
                <c:pt idx="0">
                  <c:v>合同金额占比</c:v>
                </c:pt>
              </c:strCache>
            </c:strRef>
          </c:tx>
          <c:spPr>
            <a:solidFill>
              <a:schemeClr val="accent6"/>
            </a:solidFill>
            <a:ln>
              <a:noFill/>
            </a:ln>
            <a:effectLst/>
          </c:spPr>
          <c:invertIfNegative val="0"/>
          <c:cat>
            <c:strRef>
              <c:f>Distributions!$Y$21:$Y$28</c:f>
              <c:strCache>
                <c:ptCount val="7"/>
                <c:pt idx="0">
                  <c:v>0（不含）% - 0.5（含）%</c:v>
                </c:pt>
                <c:pt idx="1">
                  <c:v>0.5（不含）% - 1（含）%</c:v>
                </c:pt>
                <c:pt idx="2">
                  <c:v>1（不含）% - 1.5（含）%</c:v>
                </c:pt>
                <c:pt idx="3">
                  <c:v>1.5（不含）% - 2（含）%</c:v>
                </c:pt>
                <c:pt idx="4">
                  <c:v>2（不含）% - 2.5（含）%</c:v>
                </c:pt>
                <c:pt idx="5">
                  <c:v>2.5（不含）% - 3（含）%</c:v>
                </c:pt>
                <c:pt idx="6">
                  <c:v>3（不含）% - 3.5（含）%</c:v>
                </c:pt>
              </c:strCache>
            </c:strRef>
          </c:cat>
          <c:val>
            <c:numRef>
              <c:f>Distributions!$AE$21:$AE$28</c:f>
              <c:numCache>
                <c:formatCode>0.00%</c:formatCode>
                <c:ptCount val="7"/>
                <c:pt idx="0">
                  <c:v>0.99401111836409861</c:v>
                </c:pt>
                <c:pt idx="1">
                  <c:v>3.8401234886687439E-3</c:v>
                </c:pt>
                <c:pt idx="2">
                  <c:v>1.0495900441254112E-3</c:v>
                </c:pt>
                <c:pt idx="3">
                  <c:v>8.8613738091989063E-4</c:v>
                </c:pt>
                <c:pt idx="4">
                  <c:v>1.901431239357629E-5</c:v>
                </c:pt>
                <c:pt idx="5">
                  <c:v>3.6690580581678697E-5</c:v>
                </c:pt>
                <c:pt idx="6">
                  <c:v>1.5732582921203494E-4</c:v>
                </c:pt>
              </c:numCache>
            </c:numRef>
          </c:val>
        </c:ser>
        <c:dLbls>
          <c:showLegendKey val="0"/>
          <c:showVal val="0"/>
          <c:showCatName val="0"/>
          <c:showSerName val="0"/>
          <c:showPercent val="0"/>
          <c:showBubbleSize val="0"/>
        </c:dLbls>
        <c:gapWidth val="219"/>
        <c:overlap val="-27"/>
        <c:axId val="147011808"/>
        <c:axId val="147017248"/>
      </c:barChart>
      <c:catAx>
        <c:axId val="14701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7248"/>
        <c:crosses val="autoZero"/>
        <c:auto val="1"/>
        <c:lblAlgn val="ctr"/>
        <c:lblOffset val="100"/>
        <c:noMultiLvlLbl val="0"/>
      </c:catAx>
      <c:valAx>
        <c:axId val="14701724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1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s>
    <c:plotArea>
      <c:layout/>
      <c:barChart>
        <c:barDir val="col"/>
        <c:grouping val="clustered"/>
        <c:varyColors val="0"/>
        <c:ser>
          <c:idx val="0"/>
          <c:order val="0"/>
          <c:tx>
            <c:strRef>
              <c:f>Distributions!$AP$20</c:f>
              <c:strCache>
                <c:ptCount val="1"/>
                <c:pt idx="0">
                  <c:v>本金余额</c:v>
                </c:pt>
              </c:strCache>
            </c:strRef>
          </c:tx>
          <c:spPr>
            <a:solidFill>
              <a:schemeClr val="accent1"/>
            </a:solidFill>
            <a:ln>
              <a:noFill/>
            </a:ln>
            <a:effectLst/>
          </c:spPr>
          <c:invertIfNegative val="0"/>
          <c:cat>
            <c:strRef>
              <c:f>Distributions!$AO$21:$AO$42</c:f>
              <c:strCache>
                <c:ptCount val="21"/>
                <c:pt idx="0">
                  <c:v>0万元 - 5万元(不含)</c:v>
                </c:pt>
                <c:pt idx="1">
                  <c:v>5万元 - 10万元(不含)</c:v>
                </c:pt>
                <c:pt idx="2">
                  <c:v>10万元 - 15万元(不含)</c:v>
                </c:pt>
                <c:pt idx="3">
                  <c:v>15万元 - 20万元(不含)</c:v>
                </c:pt>
                <c:pt idx="4">
                  <c:v>20万元 - 25万元(不含)</c:v>
                </c:pt>
                <c:pt idx="5">
                  <c:v>25万元 - 30万元(不含)</c:v>
                </c:pt>
                <c:pt idx="6">
                  <c:v>30万元 - 35万元(不含)</c:v>
                </c:pt>
                <c:pt idx="7">
                  <c:v>35万元 - 40万元(不含)</c:v>
                </c:pt>
                <c:pt idx="8">
                  <c:v>40万元 - 45万元(不含)</c:v>
                </c:pt>
                <c:pt idx="9">
                  <c:v>45万元 - 50万元(不含)</c:v>
                </c:pt>
                <c:pt idx="10">
                  <c:v>50万元 - 55万元(不含)</c:v>
                </c:pt>
                <c:pt idx="11">
                  <c:v>55万元 - 60万元(不含)</c:v>
                </c:pt>
                <c:pt idx="12">
                  <c:v>60万元 - 65万元(不含)</c:v>
                </c:pt>
                <c:pt idx="13">
                  <c:v>65万元 - 70万元(不含)</c:v>
                </c:pt>
                <c:pt idx="14">
                  <c:v>70万元 - 75万元(不含)</c:v>
                </c:pt>
                <c:pt idx="15">
                  <c:v>75万元 - 80万元(不含)</c:v>
                </c:pt>
                <c:pt idx="16">
                  <c:v>80万元 - 85万元(不含)</c:v>
                </c:pt>
                <c:pt idx="17">
                  <c:v>85万元 - 90万元(不含)</c:v>
                </c:pt>
                <c:pt idx="18">
                  <c:v>90万元 - 95万元(不含)</c:v>
                </c:pt>
                <c:pt idx="19">
                  <c:v>95万元 - 100万元(不含)</c:v>
                </c:pt>
                <c:pt idx="20">
                  <c:v>100万元以上</c:v>
                </c:pt>
              </c:strCache>
            </c:strRef>
          </c:cat>
          <c:val>
            <c:numRef>
              <c:f>Distributions!$AP$21:$AP$42</c:f>
              <c:numCache>
                <c:formatCode>[$¥-804]#,##0.00</c:formatCode>
                <c:ptCount val="21"/>
                <c:pt idx="0">
                  <c:v>4101111549.5199642</c:v>
                </c:pt>
                <c:pt idx="1">
                  <c:v>6940314696.9898882</c:v>
                </c:pt>
                <c:pt idx="2">
                  <c:v>2721973014.4200096</c:v>
                </c:pt>
                <c:pt idx="3">
                  <c:v>1282130447.9499986</c:v>
                </c:pt>
                <c:pt idx="4">
                  <c:v>753137661.83000064</c:v>
                </c:pt>
                <c:pt idx="5">
                  <c:v>688922268.00000024</c:v>
                </c:pt>
                <c:pt idx="6">
                  <c:v>495828908.79000008</c:v>
                </c:pt>
                <c:pt idx="7">
                  <c:v>369629599.57999969</c:v>
                </c:pt>
                <c:pt idx="8">
                  <c:v>334302581.70999992</c:v>
                </c:pt>
                <c:pt idx="9">
                  <c:v>246319066.71000001</c:v>
                </c:pt>
                <c:pt idx="10">
                  <c:v>186285937.09000003</c:v>
                </c:pt>
                <c:pt idx="11">
                  <c:v>151484607.23999998</c:v>
                </c:pt>
                <c:pt idx="12">
                  <c:v>140559166.69999996</c:v>
                </c:pt>
                <c:pt idx="13">
                  <c:v>138610791.66000006</c:v>
                </c:pt>
                <c:pt idx="14">
                  <c:v>114963795.98000002</c:v>
                </c:pt>
                <c:pt idx="15">
                  <c:v>122553786.20000003</c:v>
                </c:pt>
                <c:pt idx="16">
                  <c:v>85612939.460000023</c:v>
                </c:pt>
                <c:pt idx="17">
                  <c:v>73644712.859999999</c:v>
                </c:pt>
                <c:pt idx="18">
                  <c:v>88558975.539999992</c:v>
                </c:pt>
                <c:pt idx="19">
                  <c:v>95471921.099999994</c:v>
                </c:pt>
                <c:pt idx="20">
                  <c:v>5926288748.9000015</c:v>
                </c:pt>
              </c:numCache>
            </c:numRef>
          </c:val>
        </c:ser>
        <c:ser>
          <c:idx val="1"/>
          <c:order val="1"/>
          <c:tx>
            <c:strRef>
              <c:f>Distributions!$AQ$20</c:f>
              <c:strCache>
                <c:ptCount val="1"/>
                <c:pt idx="0">
                  <c:v>本金余额占比</c:v>
                </c:pt>
              </c:strCache>
            </c:strRef>
          </c:tx>
          <c:spPr>
            <a:solidFill>
              <a:schemeClr val="accent2"/>
            </a:solidFill>
            <a:ln>
              <a:noFill/>
            </a:ln>
            <a:effectLst/>
          </c:spPr>
          <c:invertIfNegative val="0"/>
          <c:cat>
            <c:strRef>
              <c:f>Distributions!$AO$21:$AO$42</c:f>
              <c:strCache>
                <c:ptCount val="21"/>
                <c:pt idx="0">
                  <c:v>0万元 - 5万元(不含)</c:v>
                </c:pt>
                <c:pt idx="1">
                  <c:v>5万元 - 10万元(不含)</c:v>
                </c:pt>
                <c:pt idx="2">
                  <c:v>10万元 - 15万元(不含)</c:v>
                </c:pt>
                <c:pt idx="3">
                  <c:v>15万元 - 20万元(不含)</c:v>
                </c:pt>
                <c:pt idx="4">
                  <c:v>20万元 - 25万元(不含)</c:v>
                </c:pt>
                <c:pt idx="5">
                  <c:v>25万元 - 30万元(不含)</c:v>
                </c:pt>
                <c:pt idx="6">
                  <c:v>30万元 - 35万元(不含)</c:v>
                </c:pt>
                <c:pt idx="7">
                  <c:v>35万元 - 40万元(不含)</c:v>
                </c:pt>
                <c:pt idx="8">
                  <c:v>40万元 - 45万元(不含)</c:v>
                </c:pt>
                <c:pt idx="9">
                  <c:v>45万元 - 50万元(不含)</c:v>
                </c:pt>
                <c:pt idx="10">
                  <c:v>50万元 - 55万元(不含)</c:v>
                </c:pt>
                <c:pt idx="11">
                  <c:v>55万元 - 60万元(不含)</c:v>
                </c:pt>
                <c:pt idx="12">
                  <c:v>60万元 - 65万元(不含)</c:v>
                </c:pt>
                <c:pt idx="13">
                  <c:v>65万元 - 70万元(不含)</c:v>
                </c:pt>
                <c:pt idx="14">
                  <c:v>70万元 - 75万元(不含)</c:v>
                </c:pt>
                <c:pt idx="15">
                  <c:v>75万元 - 80万元(不含)</c:v>
                </c:pt>
                <c:pt idx="16">
                  <c:v>80万元 - 85万元(不含)</c:v>
                </c:pt>
                <c:pt idx="17">
                  <c:v>85万元 - 90万元(不含)</c:v>
                </c:pt>
                <c:pt idx="18">
                  <c:v>90万元 - 95万元(不含)</c:v>
                </c:pt>
                <c:pt idx="19">
                  <c:v>95万元 - 100万元(不含)</c:v>
                </c:pt>
                <c:pt idx="20">
                  <c:v>100万元以上</c:v>
                </c:pt>
              </c:strCache>
            </c:strRef>
          </c:cat>
          <c:val>
            <c:numRef>
              <c:f>Distributions!$AQ$21:$AQ$42</c:f>
              <c:numCache>
                <c:formatCode>0.00%</c:formatCode>
                <c:ptCount val="21"/>
                <c:pt idx="0">
                  <c:v>0.16366668537081402</c:v>
                </c:pt>
                <c:pt idx="1">
                  <c:v>0.27697327618889994</c:v>
                </c:pt>
                <c:pt idx="2">
                  <c:v>0.10862818422753494</c:v>
                </c:pt>
                <c:pt idx="3">
                  <c:v>5.1167113621558361E-2</c:v>
                </c:pt>
                <c:pt idx="4">
                  <c:v>3.0056130698046794E-2</c:v>
                </c:pt>
                <c:pt idx="5">
                  <c:v>2.7493430188433057E-2</c:v>
                </c:pt>
                <c:pt idx="6">
                  <c:v>1.9787482742864113E-2</c:v>
                </c:pt>
                <c:pt idx="7">
                  <c:v>1.4751135307519458E-2</c:v>
                </c:pt>
                <c:pt idx="8">
                  <c:v>1.3341308764397231E-2</c:v>
                </c:pt>
                <c:pt idx="9">
                  <c:v>9.8300728242266197E-3</c:v>
                </c:pt>
                <c:pt idx="10">
                  <c:v>7.4342776309717813E-3</c:v>
                </c:pt>
                <c:pt idx="11">
                  <c:v>6.045430184548976E-3</c:v>
                </c:pt>
                <c:pt idx="12">
                  <c:v>5.6094189671493854E-3</c:v>
                </c:pt>
                <c:pt idx="13">
                  <c:v>5.531663441408239E-3</c:v>
                </c:pt>
                <c:pt idx="14">
                  <c:v>4.5879618728965083E-3</c:v>
                </c:pt>
                <c:pt idx="15">
                  <c:v>4.8908623247141871E-3</c:v>
                </c:pt>
                <c:pt idx="16">
                  <c:v>3.4166312857084997E-3</c:v>
                </c:pt>
                <c:pt idx="17">
                  <c:v>2.9390046828383365E-3</c:v>
                </c:pt>
                <c:pt idx="18">
                  <c:v>3.5342013528413623E-3</c:v>
                </c:pt>
                <c:pt idx="19">
                  <c:v>3.8100823846768704E-3</c:v>
                </c:pt>
                <c:pt idx="20">
                  <c:v>0.23650564593795134</c:v>
                </c:pt>
              </c:numCache>
            </c:numRef>
          </c:val>
        </c:ser>
        <c:ser>
          <c:idx val="2"/>
          <c:order val="2"/>
          <c:tx>
            <c:strRef>
              <c:f>Distributions!$AR$20</c:f>
              <c:strCache>
                <c:ptCount val="1"/>
                <c:pt idx="0">
                  <c:v>贷款笔数</c:v>
                </c:pt>
              </c:strCache>
            </c:strRef>
          </c:tx>
          <c:spPr>
            <a:solidFill>
              <a:schemeClr val="accent3"/>
            </a:solidFill>
            <a:ln>
              <a:noFill/>
            </a:ln>
            <a:effectLst/>
          </c:spPr>
          <c:invertIfNegative val="0"/>
          <c:cat>
            <c:strRef>
              <c:f>Distributions!$AO$21:$AO$42</c:f>
              <c:strCache>
                <c:ptCount val="21"/>
                <c:pt idx="0">
                  <c:v>0万元 - 5万元(不含)</c:v>
                </c:pt>
                <c:pt idx="1">
                  <c:v>5万元 - 10万元(不含)</c:v>
                </c:pt>
                <c:pt idx="2">
                  <c:v>10万元 - 15万元(不含)</c:v>
                </c:pt>
                <c:pt idx="3">
                  <c:v>15万元 - 20万元(不含)</c:v>
                </c:pt>
                <c:pt idx="4">
                  <c:v>20万元 - 25万元(不含)</c:v>
                </c:pt>
                <c:pt idx="5">
                  <c:v>25万元 - 30万元(不含)</c:v>
                </c:pt>
                <c:pt idx="6">
                  <c:v>30万元 - 35万元(不含)</c:v>
                </c:pt>
                <c:pt idx="7">
                  <c:v>35万元 - 40万元(不含)</c:v>
                </c:pt>
                <c:pt idx="8">
                  <c:v>40万元 - 45万元(不含)</c:v>
                </c:pt>
                <c:pt idx="9">
                  <c:v>45万元 - 50万元(不含)</c:v>
                </c:pt>
                <c:pt idx="10">
                  <c:v>50万元 - 55万元(不含)</c:v>
                </c:pt>
                <c:pt idx="11">
                  <c:v>55万元 - 60万元(不含)</c:v>
                </c:pt>
                <c:pt idx="12">
                  <c:v>60万元 - 65万元(不含)</c:v>
                </c:pt>
                <c:pt idx="13">
                  <c:v>65万元 - 70万元(不含)</c:v>
                </c:pt>
                <c:pt idx="14">
                  <c:v>70万元 - 75万元(不含)</c:v>
                </c:pt>
                <c:pt idx="15">
                  <c:v>75万元 - 80万元(不含)</c:v>
                </c:pt>
                <c:pt idx="16">
                  <c:v>80万元 - 85万元(不含)</c:v>
                </c:pt>
                <c:pt idx="17">
                  <c:v>85万元 - 90万元(不含)</c:v>
                </c:pt>
                <c:pt idx="18">
                  <c:v>90万元 - 95万元(不含)</c:v>
                </c:pt>
                <c:pt idx="19">
                  <c:v>95万元 - 100万元(不含)</c:v>
                </c:pt>
                <c:pt idx="20">
                  <c:v>100万元以上</c:v>
                </c:pt>
              </c:strCache>
            </c:strRef>
          </c:cat>
          <c:val>
            <c:numRef>
              <c:f>Distributions!$AR$21:$AR$42</c:f>
              <c:numCache>
                <c:formatCode>#,##0;\-#,##0</c:formatCode>
                <c:ptCount val="21"/>
                <c:pt idx="0">
                  <c:v>135954</c:v>
                </c:pt>
                <c:pt idx="1">
                  <c:v>101451</c:v>
                </c:pt>
                <c:pt idx="2">
                  <c:v>22792</c:v>
                </c:pt>
                <c:pt idx="3">
                  <c:v>7435</c:v>
                </c:pt>
                <c:pt idx="4">
                  <c:v>3376</c:v>
                </c:pt>
                <c:pt idx="5">
                  <c:v>2516</c:v>
                </c:pt>
                <c:pt idx="6">
                  <c:v>1534</c:v>
                </c:pt>
                <c:pt idx="7">
                  <c:v>988</c:v>
                </c:pt>
                <c:pt idx="8">
                  <c:v>790</c:v>
                </c:pt>
                <c:pt idx="9">
                  <c:v>519</c:v>
                </c:pt>
                <c:pt idx="10">
                  <c:v>357</c:v>
                </c:pt>
                <c:pt idx="11">
                  <c:v>264</c:v>
                </c:pt>
                <c:pt idx="12">
                  <c:v>225</c:v>
                </c:pt>
                <c:pt idx="13">
                  <c:v>206</c:v>
                </c:pt>
                <c:pt idx="14">
                  <c:v>158</c:v>
                </c:pt>
                <c:pt idx="15">
                  <c:v>158</c:v>
                </c:pt>
                <c:pt idx="16">
                  <c:v>104</c:v>
                </c:pt>
                <c:pt idx="17">
                  <c:v>84</c:v>
                </c:pt>
                <c:pt idx="18">
                  <c:v>96</c:v>
                </c:pt>
                <c:pt idx="19">
                  <c:v>98</c:v>
                </c:pt>
                <c:pt idx="20">
                  <c:v>1001</c:v>
                </c:pt>
              </c:numCache>
            </c:numRef>
          </c:val>
        </c:ser>
        <c:ser>
          <c:idx val="3"/>
          <c:order val="3"/>
          <c:tx>
            <c:strRef>
              <c:f>Distributions!$AS$20</c:f>
              <c:strCache>
                <c:ptCount val="1"/>
                <c:pt idx="0">
                  <c:v>贷款笔数占比</c:v>
                </c:pt>
              </c:strCache>
            </c:strRef>
          </c:tx>
          <c:spPr>
            <a:solidFill>
              <a:schemeClr val="accent4"/>
            </a:solidFill>
            <a:ln>
              <a:noFill/>
            </a:ln>
            <a:effectLst/>
          </c:spPr>
          <c:invertIfNegative val="0"/>
          <c:cat>
            <c:strRef>
              <c:f>Distributions!$AO$21:$AO$42</c:f>
              <c:strCache>
                <c:ptCount val="21"/>
                <c:pt idx="0">
                  <c:v>0万元 - 5万元(不含)</c:v>
                </c:pt>
                <c:pt idx="1">
                  <c:v>5万元 - 10万元(不含)</c:v>
                </c:pt>
                <c:pt idx="2">
                  <c:v>10万元 - 15万元(不含)</c:v>
                </c:pt>
                <c:pt idx="3">
                  <c:v>15万元 - 20万元(不含)</c:v>
                </c:pt>
                <c:pt idx="4">
                  <c:v>20万元 - 25万元(不含)</c:v>
                </c:pt>
                <c:pt idx="5">
                  <c:v>25万元 - 30万元(不含)</c:v>
                </c:pt>
                <c:pt idx="6">
                  <c:v>30万元 - 35万元(不含)</c:v>
                </c:pt>
                <c:pt idx="7">
                  <c:v>35万元 - 40万元(不含)</c:v>
                </c:pt>
                <c:pt idx="8">
                  <c:v>40万元 - 45万元(不含)</c:v>
                </c:pt>
                <c:pt idx="9">
                  <c:v>45万元 - 50万元(不含)</c:v>
                </c:pt>
                <c:pt idx="10">
                  <c:v>50万元 - 55万元(不含)</c:v>
                </c:pt>
                <c:pt idx="11">
                  <c:v>55万元 - 60万元(不含)</c:v>
                </c:pt>
                <c:pt idx="12">
                  <c:v>60万元 - 65万元(不含)</c:v>
                </c:pt>
                <c:pt idx="13">
                  <c:v>65万元 - 70万元(不含)</c:v>
                </c:pt>
                <c:pt idx="14">
                  <c:v>70万元 - 75万元(不含)</c:v>
                </c:pt>
                <c:pt idx="15">
                  <c:v>75万元 - 80万元(不含)</c:v>
                </c:pt>
                <c:pt idx="16">
                  <c:v>80万元 - 85万元(不含)</c:v>
                </c:pt>
                <c:pt idx="17">
                  <c:v>85万元 - 90万元(不含)</c:v>
                </c:pt>
                <c:pt idx="18">
                  <c:v>90万元 - 95万元(不含)</c:v>
                </c:pt>
                <c:pt idx="19">
                  <c:v>95万元 - 100万元(不含)</c:v>
                </c:pt>
                <c:pt idx="20">
                  <c:v>100万元以上</c:v>
                </c:pt>
              </c:strCache>
            </c:strRef>
          </c:cat>
          <c:val>
            <c:numRef>
              <c:f>Distributions!$AS$21:$AS$42</c:f>
              <c:numCache>
                <c:formatCode>0.00%</c:formatCode>
                <c:ptCount val="21"/>
                <c:pt idx="0">
                  <c:v>0.48536625420376572</c:v>
                </c:pt>
                <c:pt idx="1">
                  <c:v>0.36218788601458018</c:v>
                </c:pt>
                <c:pt idx="2">
                  <c:v>8.1369195947248535E-2</c:v>
                </c:pt>
                <c:pt idx="3">
                  <c:v>2.6543522809222224E-2</c:v>
                </c:pt>
                <c:pt idx="4">
                  <c:v>1.2052580094678442E-2</c:v>
                </c:pt>
                <c:pt idx="5">
                  <c:v>8.9823138383326312E-3</c:v>
                </c:pt>
                <c:pt idx="6">
                  <c:v>5.4764981828307859E-3</c:v>
                </c:pt>
                <c:pt idx="7">
                  <c:v>3.5272361177554213E-3</c:v>
                </c:pt>
                <c:pt idx="8">
                  <c:v>2.8203608633874319E-3</c:v>
                </c:pt>
                <c:pt idx="9">
                  <c:v>1.8528699849342748E-3</c:v>
                </c:pt>
                <c:pt idx="10">
                  <c:v>1.2745175040877383E-3</c:v>
                </c:pt>
                <c:pt idx="11">
                  <c:v>9.4250033915731896E-4</c:v>
                </c:pt>
                <c:pt idx="12">
                  <c:v>8.0326733450907873E-4</c:v>
                </c:pt>
                <c:pt idx="13">
                  <c:v>7.354358707060898E-4</c:v>
                </c:pt>
                <c:pt idx="14">
                  <c:v>5.6407217267748634E-4</c:v>
                </c:pt>
                <c:pt idx="15">
                  <c:v>5.6407217267748634E-4</c:v>
                </c:pt>
                <c:pt idx="16">
                  <c:v>3.7128801239530749E-4</c:v>
                </c:pt>
                <c:pt idx="17">
                  <c:v>2.9988647155005602E-4</c:v>
                </c:pt>
                <c:pt idx="18">
                  <c:v>3.4272739605720691E-4</c:v>
                </c:pt>
                <c:pt idx="19">
                  <c:v>3.4986755014173205E-4</c:v>
                </c:pt>
                <c:pt idx="20">
                  <c:v>3.5736471193048348E-3</c:v>
                </c:pt>
              </c:numCache>
            </c:numRef>
          </c:val>
        </c:ser>
        <c:ser>
          <c:idx val="4"/>
          <c:order val="4"/>
          <c:tx>
            <c:strRef>
              <c:f>Distributions!$AT$20</c:f>
              <c:strCache>
                <c:ptCount val="1"/>
                <c:pt idx="0">
                  <c:v>合同金额</c:v>
                </c:pt>
              </c:strCache>
            </c:strRef>
          </c:tx>
          <c:spPr>
            <a:solidFill>
              <a:schemeClr val="accent5"/>
            </a:solidFill>
            <a:ln>
              <a:noFill/>
            </a:ln>
            <a:effectLst/>
          </c:spPr>
          <c:invertIfNegative val="0"/>
          <c:cat>
            <c:strRef>
              <c:f>Distributions!$AO$21:$AO$42</c:f>
              <c:strCache>
                <c:ptCount val="21"/>
                <c:pt idx="0">
                  <c:v>0万元 - 5万元(不含)</c:v>
                </c:pt>
                <c:pt idx="1">
                  <c:v>5万元 - 10万元(不含)</c:v>
                </c:pt>
                <c:pt idx="2">
                  <c:v>10万元 - 15万元(不含)</c:v>
                </c:pt>
                <c:pt idx="3">
                  <c:v>15万元 - 20万元(不含)</c:v>
                </c:pt>
                <c:pt idx="4">
                  <c:v>20万元 - 25万元(不含)</c:v>
                </c:pt>
                <c:pt idx="5">
                  <c:v>25万元 - 30万元(不含)</c:v>
                </c:pt>
                <c:pt idx="6">
                  <c:v>30万元 - 35万元(不含)</c:v>
                </c:pt>
                <c:pt idx="7">
                  <c:v>35万元 - 40万元(不含)</c:v>
                </c:pt>
                <c:pt idx="8">
                  <c:v>40万元 - 45万元(不含)</c:v>
                </c:pt>
                <c:pt idx="9">
                  <c:v>45万元 - 50万元(不含)</c:v>
                </c:pt>
                <c:pt idx="10">
                  <c:v>50万元 - 55万元(不含)</c:v>
                </c:pt>
                <c:pt idx="11">
                  <c:v>55万元 - 60万元(不含)</c:v>
                </c:pt>
                <c:pt idx="12">
                  <c:v>60万元 - 65万元(不含)</c:v>
                </c:pt>
                <c:pt idx="13">
                  <c:v>65万元 - 70万元(不含)</c:v>
                </c:pt>
                <c:pt idx="14">
                  <c:v>70万元 - 75万元(不含)</c:v>
                </c:pt>
                <c:pt idx="15">
                  <c:v>75万元 - 80万元(不含)</c:v>
                </c:pt>
                <c:pt idx="16">
                  <c:v>80万元 - 85万元(不含)</c:v>
                </c:pt>
                <c:pt idx="17">
                  <c:v>85万元 - 90万元(不含)</c:v>
                </c:pt>
                <c:pt idx="18">
                  <c:v>90万元 - 95万元(不含)</c:v>
                </c:pt>
                <c:pt idx="19">
                  <c:v>95万元 - 100万元(不含)</c:v>
                </c:pt>
                <c:pt idx="20">
                  <c:v>100万元以上</c:v>
                </c:pt>
              </c:strCache>
            </c:strRef>
          </c:cat>
          <c:val>
            <c:numRef>
              <c:f>Distributions!$AT$21:$AT$42</c:f>
              <c:numCache>
                <c:formatCode>"¥"#,##0.00</c:formatCode>
                <c:ptCount val="21"/>
                <c:pt idx="0">
                  <c:v>11518063328</c:v>
                </c:pt>
                <c:pt idx="1">
                  <c:v>12707086783</c:v>
                </c:pt>
                <c:pt idx="2">
                  <c:v>4633086945</c:v>
                </c:pt>
                <c:pt idx="3">
                  <c:v>1970158231</c:v>
                </c:pt>
                <c:pt idx="4">
                  <c:v>1067762470</c:v>
                </c:pt>
                <c:pt idx="5">
                  <c:v>940230744</c:v>
                </c:pt>
                <c:pt idx="6">
                  <c:v>658384000</c:v>
                </c:pt>
                <c:pt idx="7">
                  <c:v>480198000</c:v>
                </c:pt>
                <c:pt idx="8">
                  <c:v>435928300</c:v>
                </c:pt>
                <c:pt idx="9">
                  <c:v>306406100</c:v>
                </c:pt>
                <c:pt idx="10">
                  <c:v>227983700</c:v>
                </c:pt>
                <c:pt idx="11">
                  <c:v>190058000</c:v>
                </c:pt>
                <c:pt idx="12">
                  <c:v>167691800</c:v>
                </c:pt>
                <c:pt idx="13">
                  <c:v>163250000</c:v>
                </c:pt>
                <c:pt idx="14">
                  <c:v>143014000</c:v>
                </c:pt>
                <c:pt idx="15">
                  <c:v>162692000</c:v>
                </c:pt>
                <c:pt idx="16">
                  <c:v>102722000</c:v>
                </c:pt>
                <c:pt idx="17">
                  <c:v>102362000</c:v>
                </c:pt>
                <c:pt idx="18">
                  <c:v>109706000</c:v>
                </c:pt>
                <c:pt idx="19">
                  <c:v>111228000</c:v>
                </c:pt>
                <c:pt idx="20">
                  <c:v>6401477038</c:v>
                </c:pt>
              </c:numCache>
            </c:numRef>
          </c:val>
        </c:ser>
        <c:ser>
          <c:idx val="5"/>
          <c:order val="5"/>
          <c:tx>
            <c:strRef>
              <c:f>Distributions!$AU$20</c:f>
              <c:strCache>
                <c:ptCount val="1"/>
                <c:pt idx="0">
                  <c:v>合同金额占比</c:v>
                </c:pt>
              </c:strCache>
            </c:strRef>
          </c:tx>
          <c:spPr>
            <a:solidFill>
              <a:schemeClr val="accent6"/>
            </a:solidFill>
            <a:ln>
              <a:noFill/>
            </a:ln>
            <a:effectLst/>
          </c:spPr>
          <c:invertIfNegative val="0"/>
          <c:cat>
            <c:strRef>
              <c:f>Distributions!$AO$21:$AO$42</c:f>
              <c:strCache>
                <c:ptCount val="21"/>
                <c:pt idx="0">
                  <c:v>0万元 - 5万元(不含)</c:v>
                </c:pt>
                <c:pt idx="1">
                  <c:v>5万元 - 10万元(不含)</c:v>
                </c:pt>
                <c:pt idx="2">
                  <c:v>10万元 - 15万元(不含)</c:v>
                </c:pt>
                <c:pt idx="3">
                  <c:v>15万元 - 20万元(不含)</c:v>
                </c:pt>
                <c:pt idx="4">
                  <c:v>20万元 - 25万元(不含)</c:v>
                </c:pt>
                <c:pt idx="5">
                  <c:v>25万元 - 30万元(不含)</c:v>
                </c:pt>
                <c:pt idx="6">
                  <c:v>30万元 - 35万元(不含)</c:v>
                </c:pt>
                <c:pt idx="7">
                  <c:v>35万元 - 40万元(不含)</c:v>
                </c:pt>
                <c:pt idx="8">
                  <c:v>40万元 - 45万元(不含)</c:v>
                </c:pt>
                <c:pt idx="9">
                  <c:v>45万元 - 50万元(不含)</c:v>
                </c:pt>
                <c:pt idx="10">
                  <c:v>50万元 - 55万元(不含)</c:v>
                </c:pt>
                <c:pt idx="11">
                  <c:v>55万元 - 60万元(不含)</c:v>
                </c:pt>
                <c:pt idx="12">
                  <c:v>60万元 - 65万元(不含)</c:v>
                </c:pt>
                <c:pt idx="13">
                  <c:v>65万元 - 70万元(不含)</c:v>
                </c:pt>
                <c:pt idx="14">
                  <c:v>70万元 - 75万元(不含)</c:v>
                </c:pt>
                <c:pt idx="15">
                  <c:v>75万元 - 80万元(不含)</c:v>
                </c:pt>
                <c:pt idx="16">
                  <c:v>80万元 - 85万元(不含)</c:v>
                </c:pt>
                <c:pt idx="17">
                  <c:v>85万元 - 90万元(不含)</c:v>
                </c:pt>
                <c:pt idx="18">
                  <c:v>90万元 - 95万元(不含)</c:v>
                </c:pt>
                <c:pt idx="19">
                  <c:v>95万元 - 100万元(不含)</c:v>
                </c:pt>
                <c:pt idx="20">
                  <c:v>100万元以上</c:v>
                </c:pt>
              </c:strCache>
            </c:strRef>
          </c:cat>
          <c:val>
            <c:numRef>
              <c:f>Distributions!$AU$21:$AU$42</c:f>
              <c:numCache>
                <c:formatCode>0.00%</c:formatCode>
                <c:ptCount val="21"/>
                <c:pt idx="0">
                  <c:v>0.27038031393529255</c:v>
                </c:pt>
                <c:pt idx="1">
                  <c:v>0.29829199716573629</c:v>
                </c:pt>
                <c:pt idx="2">
                  <c:v>0.1087592129862099</c:v>
                </c:pt>
                <c:pt idx="3">
                  <c:v>4.6248400085197088E-2</c:v>
                </c:pt>
                <c:pt idx="4">
                  <c:v>2.5065147119403251E-2</c:v>
                </c:pt>
                <c:pt idx="5">
                  <c:v>2.2071408751185996E-2</c:v>
                </c:pt>
                <c:pt idx="6">
                  <c:v>1.5455208704854732E-2</c:v>
                </c:pt>
                <c:pt idx="7">
                  <c:v>1.127238862070438E-2</c:v>
                </c:pt>
                <c:pt idx="8">
                  <c:v>1.0233181330124252E-2</c:v>
                </c:pt>
                <c:pt idx="9">
                  <c:v>7.1927176601202176E-3</c:v>
                </c:pt>
                <c:pt idx="10">
                  <c:v>5.3517941882017025E-3</c:v>
                </c:pt>
                <c:pt idx="11">
                  <c:v>4.4615088702448426E-3</c:v>
                </c:pt>
                <c:pt idx="12">
                  <c:v>3.9364744086927365E-3</c:v>
                </c:pt>
                <c:pt idx="13">
                  <c:v>3.832205553396703E-3</c:v>
                </c:pt>
                <c:pt idx="14">
                  <c:v>3.3571763859937278E-3</c:v>
                </c:pt>
                <c:pt idx="15">
                  <c:v>3.8191068048589061E-3</c:v>
                </c:pt>
                <c:pt idx="16">
                  <c:v>2.411343453941906E-3</c:v>
                </c:pt>
                <c:pt idx="17">
                  <c:v>2.4028926484336499E-3</c:v>
                </c:pt>
                <c:pt idx="18">
                  <c:v>2.5752890808020748E-3</c:v>
                </c:pt>
                <c:pt idx="19">
                  <c:v>2.6110172085342018E-3</c:v>
                </c:pt>
                <c:pt idx="20">
                  <c:v>0.15027121503807092</c:v>
                </c:pt>
              </c:numCache>
            </c:numRef>
          </c:val>
        </c:ser>
        <c:dLbls>
          <c:showLegendKey val="0"/>
          <c:showVal val="0"/>
          <c:showCatName val="0"/>
          <c:showSerName val="0"/>
          <c:showPercent val="0"/>
          <c:showBubbleSize val="0"/>
        </c:dLbls>
        <c:gapWidth val="219"/>
        <c:overlap val="-27"/>
        <c:axId val="147012352"/>
        <c:axId val="147019968"/>
      </c:barChart>
      <c:catAx>
        <c:axId val="14701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9968"/>
        <c:crosses val="autoZero"/>
        <c:auto val="1"/>
        <c:lblAlgn val="ctr"/>
        <c:lblOffset val="100"/>
        <c:noMultiLvlLbl val="0"/>
      </c:catAx>
      <c:valAx>
        <c:axId val="1470199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2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[资产池日统计报表.xlsm]Distributions!ptDistLoanType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Distributions!$AW$21:$AW$24</c:f>
              <c:strCache>
                <c:ptCount val="3"/>
                <c:pt idx="1">
                  <c:v>一手住房</c:v>
                </c:pt>
                <c:pt idx="2">
                  <c:v>二手住房</c:v>
                </c:pt>
              </c:strCache>
            </c:strRef>
          </c:cat>
          <c:val>
            <c:numRef>
              <c:f>Distributions!$AX$21:$AX$24</c:f>
              <c:numCache>
                <c:formatCode>[$¥-804]#,##0.00</c:formatCode>
                <c:ptCount val="3"/>
                <c:pt idx="0">
                  <c:v>18755806853.870102</c:v>
                </c:pt>
                <c:pt idx="1">
                  <c:v>5465465763.4799948</c:v>
                </c:pt>
                <c:pt idx="2">
                  <c:v>836432560.88000047</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Distributions!$AW$21:$AW$24</c:f>
              <c:strCache>
                <c:ptCount val="3"/>
                <c:pt idx="1">
                  <c:v>一手住房</c:v>
                </c:pt>
                <c:pt idx="2">
                  <c:v>二手住房</c:v>
                </c:pt>
              </c:strCache>
            </c:strRef>
          </c:cat>
          <c:val>
            <c:numRef>
              <c:f>Distributions!$AY$21:$AY$24</c:f>
              <c:numCache>
                <c:formatCode>0.00%</c:formatCode>
                <c:ptCount val="3"/>
                <c:pt idx="0">
                  <c:v>0.7485045705687825</c:v>
                </c:pt>
                <c:pt idx="1">
                  <c:v>0.21811517553604198</c:v>
                </c:pt>
                <c:pt idx="2">
                  <c:v>3.3380253895184835E-2</c:v>
                </c:pt>
              </c:numCache>
            </c:numRef>
          </c:val>
        </c:ser>
        <c:ser>
          <c:idx val="2"/>
          <c:order val="2"/>
          <c:tx>
            <c:strRef>
              <c:f>Distributions!$AZ$20</c:f>
              <c:strCache>
                <c:ptCount val="1"/>
                <c:pt idx="0">
                  <c:v>贷款笔数</c:v>
                </c:pt>
              </c:strCache>
            </c:strRef>
          </c:tx>
          <c:spPr>
            <a:solidFill>
              <a:schemeClr val="accent3"/>
            </a:solidFill>
            <a:ln>
              <a:noFill/>
            </a:ln>
            <a:effectLst/>
          </c:spPr>
          <c:invertIfNegative val="0"/>
          <c:cat>
            <c:strRef>
              <c:f>Distributions!$AW$21:$AW$24</c:f>
              <c:strCache>
                <c:ptCount val="3"/>
                <c:pt idx="1">
                  <c:v>一手住房</c:v>
                </c:pt>
                <c:pt idx="2">
                  <c:v>二手住房</c:v>
                </c:pt>
              </c:strCache>
            </c:strRef>
          </c:cat>
          <c:val>
            <c:numRef>
              <c:f>Distributions!$AZ$21:$AZ$24</c:f>
              <c:numCache>
                <c:formatCode>#,##0;\-#,##0</c:formatCode>
                <c:ptCount val="3"/>
                <c:pt idx="0">
                  <c:v>262254</c:v>
                </c:pt>
                <c:pt idx="1">
                  <c:v>15364</c:v>
                </c:pt>
                <c:pt idx="2">
                  <c:v>2488</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Distributions!$AW$21:$AW$24</c:f>
              <c:strCache>
                <c:ptCount val="3"/>
                <c:pt idx="1">
                  <c:v>一手住房</c:v>
                </c:pt>
                <c:pt idx="2">
                  <c:v>二手住房</c:v>
                </c:pt>
              </c:strCache>
            </c:strRef>
          </c:cat>
          <c:val>
            <c:numRef>
              <c:f>Distributions!$BA$21:$BA$24</c:f>
              <c:numCache>
                <c:formatCode>0.00%</c:formatCode>
                <c:ptCount val="3"/>
                <c:pt idx="0">
                  <c:v>0.93626698464152858</c:v>
                </c:pt>
                <c:pt idx="1">
                  <c:v>5.4850663677322158E-2</c:v>
                </c:pt>
                <c:pt idx="2">
                  <c:v>8.8823516811492795E-3</c:v>
                </c:pt>
              </c:numCache>
            </c:numRef>
          </c:val>
        </c:ser>
        <c:ser>
          <c:idx val="4"/>
          <c:order val="4"/>
          <c:tx>
            <c:strRef>
              <c:f>Distributions!$BB$20</c:f>
              <c:strCache>
                <c:ptCount val="1"/>
                <c:pt idx="0">
                  <c:v>合同金额</c:v>
                </c:pt>
              </c:strCache>
            </c:strRef>
          </c:tx>
          <c:spPr>
            <a:solidFill>
              <a:schemeClr val="accent5"/>
            </a:solidFill>
            <a:ln>
              <a:noFill/>
            </a:ln>
            <a:effectLst/>
          </c:spPr>
          <c:invertIfNegative val="0"/>
          <c:cat>
            <c:strRef>
              <c:f>Distributions!$AW$21:$AW$24</c:f>
              <c:strCache>
                <c:ptCount val="3"/>
                <c:pt idx="1">
                  <c:v>一手住房</c:v>
                </c:pt>
                <c:pt idx="2">
                  <c:v>二手住房</c:v>
                </c:pt>
              </c:strCache>
            </c:strRef>
          </c:cat>
          <c:val>
            <c:numRef>
              <c:f>Distributions!$BB$21:$BB$24</c:f>
              <c:numCache>
                <c:formatCode>"¥"#,##0.00</c:formatCode>
                <c:ptCount val="3"/>
                <c:pt idx="0">
                  <c:v>34286716601</c:v>
                </c:pt>
                <c:pt idx="1">
                  <c:v>6945971600</c:v>
                </c:pt>
                <c:pt idx="2">
                  <c:v>1366801238</c:v>
                </c:pt>
              </c:numCache>
            </c:numRef>
          </c:val>
        </c:ser>
        <c:ser>
          <c:idx val="5"/>
          <c:order val="5"/>
          <c:tx>
            <c:strRef>
              <c:f>Distributions!$BC$20</c:f>
              <c:strCache>
                <c:ptCount val="1"/>
                <c:pt idx="0">
                  <c:v>合同金额占比</c:v>
                </c:pt>
              </c:strCache>
            </c:strRef>
          </c:tx>
          <c:spPr>
            <a:solidFill>
              <a:schemeClr val="accent6"/>
            </a:solidFill>
            <a:ln>
              <a:noFill/>
            </a:ln>
            <a:effectLst/>
          </c:spPr>
          <c:invertIfNegative val="0"/>
          <c:cat>
            <c:strRef>
              <c:f>Distributions!$AW$21:$AW$24</c:f>
              <c:strCache>
                <c:ptCount val="3"/>
                <c:pt idx="1">
                  <c:v>一手住房</c:v>
                </c:pt>
                <c:pt idx="2">
                  <c:v>二手住房</c:v>
                </c:pt>
              </c:strCache>
            </c:strRef>
          </c:cat>
          <c:val>
            <c:numRef>
              <c:f>Distributions!$BC$21:$BC$24</c:f>
              <c:numCache>
                <c:formatCode>0.00%</c:formatCode>
                <c:ptCount val="3"/>
                <c:pt idx="0">
                  <c:v>0.8048621486437435</c:v>
                </c:pt>
                <c:pt idx="1">
                  <c:v>0.16305293071519622</c:v>
                </c:pt>
                <c:pt idx="2">
                  <c:v>3.208492064106027E-2</c:v>
                </c:pt>
              </c:numCache>
            </c:numRef>
          </c:val>
        </c:ser>
        <c:dLbls>
          <c:showLegendKey val="0"/>
          <c:showVal val="0"/>
          <c:showCatName val="0"/>
          <c:showSerName val="0"/>
          <c:showPercent val="0"/>
          <c:showBubbleSize val="0"/>
        </c:dLbls>
        <c:gapWidth val="219"/>
        <c:overlap val="-27"/>
        <c:axId val="147020512"/>
        <c:axId val="147013984"/>
      </c:barChart>
      <c:catAx>
        <c:axId val="147020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3984"/>
        <c:crosses val="autoZero"/>
        <c:auto val="1"/>
        <c:lblAlgn val="ctr"/>
        <c:lblOffset val="100"/>
        <c:noMultiLvlLbl val="0"/>
      </c:catAx>
      <c:valAx>
        <c:axId val="1470139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20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s>
    <c:plotArea>
      <c:layout/>
      <c:barChart>
        <c:barDir val="col"/>
        <c:grouping val="clustered"/>
        <c:varyColors val="0"/>
        <c:ser>
          <c:idx val="0"/>
          <c:order val="0"/>
          <c:tx>
            <c:strRef>
              <c:f>Distributions!$BF$20</c:f>
              <c:strCache>
                <c:ptCount val="1"/>
                <c:pt idx="0">
                  <c:v>本金余额</c:v>
                </c:pt>
              </c:strCache>
            </c:strRef>
          </c:tx>
          <c:spPr>
            <a:solidFill>
              <a:schemeClr val="accent1"/>
            </a:solidFill>
            <a:ln>
              <a:noFill/>
            </a:ln>
            <a:effectLst/>
          </c:spPr>
          <c:invertIfNegative val="0"/>
          <c:cat>
            <c:strRef>
              <c:f>Distributions!$BE$21:$BE$22</c:f>
              <c:strCache>
                <c:ptCount val="1"/>
              </c:strCache>
            </c:strRef>
          </c:cat>
          <c:val>
            <c:numRef>
              <c:f>Distributions!$BF$21:$BF$22</c:f>
              <c:numCache>
                <c:formatCode>[$¥-804]#,##0.00</c:formatCode>
                <c:ptCount val="1"/>
                <c:pt idx="0">
                  <c:v>25057705178.23019</c:v>
                </c:pt>
              </c:numCache>
            </c:numRef>
          </c:val>
        </c:ser>
        <c:ser>
          <c:idx val="1"/>
          <c:order val="1"/>
          <c:tx>
            <c:strRef>
              <c:f>Distributions!$BG$20</c:f>
              <c:strCache>
                <c:ptCount val="1"/>
                <c:pt idx="0">
                  <c:v>本金余额占比</c:v>
                </c:pt>
              </c:strCache>
            </c:strRef>
          </c:tx>
          <c:spPr>
            <a:solidFill>
              <a:schemeClr val="accent2"/>
            </a:solidFill>
            <a:ln>
              <a:noFill/>
            </a:ln>
            <a:effectLst/>
          </c:spPr>
          <c:invertIfNegative val="0"/>
          <c:cat>
            <c:strRef>
              <c:f>Distributions!$BE$21:$BE$22</c:f>
              <c:strCache>
                <c:ptCount val="1"/>
              </c:strCache>
            </c:strRef>
          </c:cat>
          <c:val>
            <c:numRef>
              <c:f>Distributions!$BG$21:$BG$22</c:f>
              <c:numCache>
                <c:formatCode>0.00%</c:formatCode>
                <c:ptCount val="1"/>
                <c:pt idx="0">
                  <c:v>1.0000000000000131</c:v>
                </c:pt>
              </c:numCache>
            </c:numRef>
          </c:val>
        </c:ser>
        <c:ser>
          <c:idx val="2"/>
          <c:order val="2"/>
          <c:tx>
            <c:strRef>
              <c:f>Distributions!$BH$20</c:f>
              <c:strCache>
                <c:ptCount val="1"/>
                <c:pt idx="0">
                  <c:v>贷款笔数</c:v>
                </c:pt>
              </c:strCache>
            </c:strRef>
          </c:tx>
          <c:spPr>
            <a:solidFill>
              <a:schemeClr val="accent3"/>
            </a:solidFill>
            <a:ln>
              <a:noFill/>
            </a:ln>
            <a:effectLst/>
          </c:spPr>
          <c:invertIfNegative val="0"/>
          <c:cat>
            <c:strRef>
              <c:f>Distributions!$BE$21:$BE$22</c:f>
              <c:strCache>
                <c:ptCount val="1"/>
              </c:strCache>
            </c:strRef>
          </c:cat>
          <c:val>
            <c:numRef>
              <c:f>Distributions!$BH$21:$BH$22</c:f>
              <c:numCache>
                <c:formatCode>#,##0;\-#,##0</c:formatCode>
                <c:ptCount val="1"/>
                <c:pt idx="0">
                  <c:v>280106</c:v>
                </c:pt>
              </c:numCache>
            </c:numRef>
          </c:val>
        </c:ser>
        <c:ser>
          <c:idx val="3"/>
          <c:order val="3"/>
          <c:tx>
            <c:strRef>
              <c:f>Distributions!$BI$20</c:f>
              <c:strCache>
                <c:ptCount val="1"/>
                <c:pt idx="0">
                  <c:v>贷款笔数占比</c:v>
                </c:pt>
              </c:strCache>
            </c:strRef>
          </c:tx>
          <c:spPr>
            <a:solidFill>
              <a:schemeClr val="accent4"/>
            </a:solidFill>
            <a:ln>
              <a:noFill/>
            </a:ln>
            <a:effectLst/>
          </c:spPr>
          <c:invertIfNegative val="0"/>
          <c:cat>
            <c:strRef>
              <c:f>Distributions!$BE$21:$BE$22</c:f>
              <c:strCache>
                <c:ptCount val="1"/>
              </c:strCache>
            </c:strRef>
          </c:cat>
          <c:val>
            <c:numRef>
              <c:f>Distributions!$BI$21:$BI$22</c:f>
              <c:numCache>
                <c:formatCode>0.00%</c:formatCode>
                <c:ptCount val="1"/>
                <c:pt idx="0">
                  <c:v>1</c:v>
                </c:pt>
              </c:numCache>
            </c:numRef>
          </c:val>
        </c:ser>
        <c:ser>
          <c:idx val="4"/>
          <c:order val="4"/>
          <c:tx>
            <c:strRef>
              <c:f>Distributions!$BJ$20</c:f>
              <c:strCache>
                <c:ptCount val="1"/>
                <c:pt idx="0">
                  <c:v>合同金额</c:v>
                </c:pt>
              </c:strCache>
            </c:strRef>
          </c:tx>
          <c:spPr>
            <a:solidFill>
              <a:schemeClr val="accent5"/>
            </a:solidFill>
            <a:ln>
              <a:noFill/>
            </a:ln>
            <a:effectLst/>
          </c:spPr>
          <c:invertIfNegative val="0"/>
          <c:cat>
            <c:strRef>
              <c:f>Distributions!$BE$21:$BE$22</c:f>
              <c:strCache>
                <c:ptCount val="1"/>
              </c:strCache>
            </c:strRef>
          </c:cat>
          <c:val>
            <c:numRef>
              <c:f>Distributions!$BJ$21:$BJ$22</c:f>
              <c:numCache>
                <c:formatCode>"¥"#,##0.00</c:formatCode>
                <c:ptCount val="1"/>
                <c:pt idx="0">
                  <c:v>42599489439</c:v>
                </c:pt>
              </c:numCache>
            </c:numRef>
          </c:val>
        </c:ser>
        <c:ser>
          <c:idx val="5"/>
          <c:order val="5"/>
          <c:tx>
            <c:strRef>
              <c:f>Distributions!$BK$20</c:f>
              <c:strCache>
                <c:ptCount val="1"/>
                <c:pt idx="0">
                  <c:v>合同金额占比</c:v>
                </c:pt>
              </c:strCache>
            </c:strRef>
          </c:tx>
          <c:spPr>
            <a:solidFill>
              <a:schemeClr val="accent6"/>
            </a:solidFill>
            <a:ln>
              <a:noFill/>
            </a:ln>
            <a:effectLst/>
          </c:spPr>
          <c:invertIfNegative val="0"/>
          <c:cat>
            <c:strRef>
              <c:f>Distributions!$BE$21:$BE$22</c:f>
              <c:strCache>
                <c:ptCount val="1"/>
              </c:strCache>
            </c:strRef>
          </c:cat>
          <c:val>
            <c:numRef>
              <c:f>Distributions!$BK$21:$BK$22</c:f>
              <c:numCache>
                <c:formatCode>0.00%</c:formatCode>
                <c:ptCount val="1"/>
                <c:pt idx="0">
                  <c:v>1</c:v>
                </c:pt>
              </c:numCache>
            </c:numRef>
          </c:val>
        </c:ser>
        <c:dLbls>
          <c:showLegendKey val="0"/>
          <c:showVal val="0"/>
          <c:showCatName val="0"/>
          <c:showSerName val="0"/>
          <c:showPercent val="0"/>
          <c:showBubbleSize val="0"/>
        </c:dLbls>
        <c:gapWidth val="219"/>
        <c:overlap val="-27"/>
        <c:axId val="147014528"/>
        <c:axId val="147009632"/>
      </c:barChart>
      <c:catAx>
        <c:axId val="14701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09632"/>
        <c:crosses val="autoZero"/>
        <c:auto val="1"/>
        <c:lblAlgn val="ctr"/>
        <c:lblOffset val="100"/>
        <c:noMultiLvlLbl val="0"/>
      </c:catAx>
      <c:valAx>
        <c:axId val="14700963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1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[资产池日统计报表.xlsm]Distributions!ptDistGuaranteeType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Distributions!$BN$20</c:f>
              <c:strCache>
                <c:ptCount val="1"/>
                <c:pt idx="0">
                  <c:v>本金余额</c:v>
                </c:pt>
              </c:strCache>
            </c:strRef>
          </c:tx>
          <c:spPr>
            <a:solidFill>
              <a:schemeClr val="accent1"/>
            </a:solidFill>
            <a:ln>
              <a:noFill/>
            </a:ln>
            <a:effectLst/>
          </c:spPr>
          <c:invertIfNegative val="0"/>
          <c:cat>
            <c:strRef>
              <c:f>Distributions!$BM$21:$BM$24</c:f>
              <c:strCache>
                <c:ptCount val="3"/>
                <c:pt idx="1">
                  <c:v>保证</c:v>
                </c:pt>
                <c:pt idx="2">
                  <c:v>信用</c:v>
                </c:pt>
              </c:strCache>
            </c:strRef>
          </c:cat>
          <c:val>
            <c:numRef>
              <c:f>Distributions!$BN$21:$BN$24</c:f>
              <c:numCache>
                <c:formatCode>[$¥-804]#,##0.00</c:formatCode>
                <c:ptCount val="3"/>
                <c:pt idx="0">
                  <c:v>20932305178.230145</c:v>
                </c:pt>
                <c:pt idx="1">
                  <c:v>3620000000</c:v>
                </c:pt>
                <c:pt idx="2">
                  <c:v>505400000</c:v>
                </c:pt>
              </c:numCache>
            </c:numRef>
          </c:val>
        </c:ser>
        <c:ser>
          <c:idx val="1"/>
          <c:order val="1"/>
          <c:tx>
            <c:strRef>
              <c:f>Distributions!$BO$20</c:f>
              <c:strCache>
                <c:ptCount val="1"/>
                <c:pt idx="0">
                  <c:v>本金余额占比</c:v>
                </c:pt>
              </c:strCache>
            </c:strRef>
          </c:tx>
          <c:spPr>
            <a:solidFill>
              <a:schemeClr val="accent2"/>
            </a:solidFill>
            <a:ln>
              <a:noFill/>
            </a:ln>
            <a:effectLst/>
          </c:spPr>
          <c:invertIfNegative val="0"/>
          <c:cat>
            <c:strRef>
              <c:f>Distributions!$BM$21:$BM$24</c:f>
              <c:strCache>
                <c:ptCount val="3"/>
                <c:pt idx="1">
                  <c:v>保证</c:v>
                </c:pt>
                <c:pt idx="2">
                  <c:v>信用</c:v>
                </c:pt>
              </c:strCache>
            </c:strRef>
          </c:cat>
          <c:val>
            <c:numRef>
              <c:f>Distributions!$BO$21:$BO$24</c:f>
              <c:numCache>
                <c:formatCode>0.00%</c:formatCode>
                <c:ptCount val="3"/>
                <c:pt idx="0">
                  <c:v>0.83536401395671833</c:v>
                </c:pt>
                <c:pt idx="1">
                  <c:v>0.14446654129944256</c:v>
                </c:pt>
                <c:pt idx="2">
                  <c:v>2.0169444743850351E-2</c:v>
                </c:pt>
              </c:numCache>
            </c:numRef>
          </c:val>
        </c:ser>
        <c:ser>
          <c:idx val="2"/>
          <c:order val="2"/>
          <c:tx>
            <c:strRef>
              <c:f>Distributions!$BP$20</c:f>
              <c:strCache>
                <c:ptCount val="1"/>
                <c:pt idx="0">
                  <c:v>贷款笔数</c:v>
                </c:pt>
              </c:strCache>
            </c:strRef>
          </c:tx>
          <c:spPr>
            <a:solidFill>
              <a:schemeClr val="accent3"/>
            </a:solidFill>
            <a:ln>
              <a:noFill/>
            </a:ln>
            <a:effectLst/>
          </c:spPr>
          <c:invertIfNegative val="0"/>
          <c:cat>
            <c:strRef>
              <c:f>Distributions!$BM$21:$BM$24</c:f>
              <c:strCache>
                <c:ptCount val="3"/>
                <c:pt idx="1">
                  <c:v>保证</c:v>
                </c:pt>
                <c:pt idx="2">
                  <c:v>信用</c:v>
                </c:pt>
              </c:strCache>
            </c:strRef>
          </c:cat>
          <c:val>
            <c:numRef>
              <c:f>Distributions!$BP$21:$BP$24</c:f>
              <c:numCache>
                <c:formatCode>#,##0;\-#,##0</c:formatCode>
                <c:ptCount val="3"/>
                <c:pt idx="0">
                  <c:v>279963</c:v>
                </c:pt>
                <c:pt idx="1">
                  <c:v>126</c:v>
                </c:pt>
                <c:pt idx="2">
                  <c:v>17</c:v>
                </c:pt>
              </c:numCache>
            </c:numRef>
          </c:val>
        </c:ser>
        <c:ser>
          <c:idx val="3"/>
          <c:order val="3"/>
          <c:tx>
            <c:strRef>
              <c:f>Distributions!$BQ$20</c:f>
              <c:strCache>
                <c:ptCount val="1"/>
                <c:pt idx="0">
                  <c:v>贷款笔数占比</c:v>
                </c:pt>
              </c:strCache>
            </c:strRef>
          </c:tx>
          <c:spPr>
            <a:solidFill>
              <a:schemeClr val="accent4"/>
            </a:solidFill>
            <a:ln>
              <a:noFill/>
            </a:ln>
            <a:effectLst/>
          </c:spPr>
          <c:invertIfNegative val="0"/>
          <c:cat>
            <c:strRef>
              <c:f>Distributions!$BM$21:$BM$24</c:f>
              <c:strCache>
                <c:ptCount val="3"/>
                <c:pt idx="1">
                  <c:v>保证</c:v>
                </c:pt>
                <c:pt idx="2">
                  <c:v>信用</c:v>
                </c:pt>
              </c:strCache>
            </c:strRef>
          </c:cat>
          <c:val>
            <c:numRef>
              <c:f>Distributions!$BQ$21:$BQ$24</c:f>
              <c:numCache>
                <c:formatCode>0.00%</c:formatCode>
                <c:ptCount val="3"/>
                <c:pt idx="0">
                  <c:v>0.99948947898295648</c:v>
                </c:pt>
                <c:pt idx="1">
                  <c:v>4.4982970732508409E-4</c:v>
                </c:pt>
                <c:pt idx="2">
                  <c:v>6.0691309718463724E-5</c:v>
                </c:pt>
              </c:numCache>
            </c:numRef>
          </c:val>
        </c:ser>
        <c:ser>
          <c:idx val="4"/>
          <c:order val="4"/>
          <c:tx>
            <c:strRef>
              <c:f>Distributions!$BR$20</c:f>
              <c:strCache>
                <c:ptCount val="1"/>
                <c:pt idx="0">
                  <c:v>合同金额</c:v>
                </c:pt>
              </c:strCache>
            </c:strRef>
          </c:tx>
          <c:spPr>
            <a:solidFill>
              <a:schemeClr val="accent5"/>
            </a:solidFill>
            <a:ln>
              <a:noFill/>
            </a:ln>
            <a:effectLst/>
          </c:spPr>
          <c:invertIfNegative val="0"/>
          <c:cat>
            <c:strRef>
              <c:f>Distributions!$BM$21:$BM$24</c:f>
              <c:strCache>
                <c:ptCount val="3"/>
                <c:pt idx="1">
                  <c:v>保证</c:v>
                </c:pt>
                <c:pt idx="2">
                  <c:v>信用</c:v>
                </c:pt>
              </c:strCache>
            </c:strRef>
          </c:cat>
          <c:val>
            <c:numRef>
              <c:f>Distributions!$BR$21:$BR$24</c:f>
              <c:numCache>
                <c:formatCode>"¥"#,##0.00</c:formatCode>
                <c:ptCount val="3"/>
                <c:pt idx="0">
                  <c:v>38398489439</c:v>
                </c:pt>
                <c:pt idx="1">
                  <c:v>3672000000</c:v>
                </c:pt>
                <c:pt idx="2">
                  <c:v>529000000</c:v>
                </c:pt>
              </c:numCache>
            </c:numRef>
          </c:val>
        </c:ser>
        <c:ser>
          <c:idx val="5"/>
          <c:order val="5"/>
          <c:tx>
            <c:strRef>
              <c:f>Distributions!$BS$20</c:f>
              <c:strCache>
                <c:ptCount val="1"/>
                <c:pt idx="0">
                  <c:v>合同金额占比</c:v>
                </c:pt>
              </c:strCache>
            </c:strRef>
          </c:tx>
          <c:spPr>
            <a:solidFill>
              <a:schemeClr val="accent6"/>
            </a:solidFill>
            <a:ln>
              <a:noFill/>
            </a:ln>
            <a:effectLst/>
          </c:spPr>
          <c:invertIfNegative val="0"/>
          <c:cat>
            <c:strRef>
              <c:f>Distributions!$BM$21:$BM$24</c:f>
              <c:strCache>
                <c:ptCount val="3"/>
                <c:pt idx="1">
                  <c:v>保证</c:v>
                </c:pt>
                <c:pt idx="2">
                  <c:v>信用</c:v>
                </c:pt>
              </c:strCache>
            </c:strRef>
          </c:cat>
          <c:val>
            <c:numRef>
              <c:f>Distributions!$BS$21:$BS$24</c:f>
              <c:numCache>
                <c:formatCode>0.00%</c:formatCode>
                <c:ptCount val="3"/>
                <c:pt idx="0">
                  <c:v>0.90138379461060003</c:v>
                </c:pt>
                <c:pt idx="1">
                  <c:v>8.6198216184212514E-2</c:v>
                </c:pt>
                <c:pt idx="2">
                  <c:v>1.2417989205187479E-2</c:v>
                </c:pt>
              </c:numCache>
            </c:numRef>
          </c:val>
        </c:ser>
        <c:dLbls>
          <c:showLegendKey val="0"/>
          <c:showVal val="0"/>
          <c:showCatName val="0"/>
          <c:showSerName val="0"/>
          <c:showPercent val="0"/>
          <c:showBubbleSize val="0"/>
        </c:dLbls>
        <c:gapWidth val="219"/>
        <c:overlap val="-27"/>
        <c:axId val="247892992"/>
        <c:axId val="247891360"/>
      </c:barChart>
      <c:catAx>
        <c:axId val="24789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91360"/>
        <c:crosses val="autoZero"/>
        <c:auto val="1"/>
        <c:lblAlgn val="ctr"/>
        <c:lblOffset val="100"/>
        <c:noMultiLvlLbl val="0"/>
      </c:catAx>
      <c:valAx>
        <c:axId val="24789136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92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[资产池日统计报表.xlsm]Distributions!ptDistPaymentType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Distributions!$BV$20</c:f>
              <c:strCache>
                <c:ptCount val="1"/>
                <c:pt idx="0">
                  <c:v>本金余额</c:v>
                </c:pt>
              </c:strCache>
            </c:strRef>
          </c:tx>
          <c:spPr>
            <a:solidFill>
              <a:schemeClr val="accent1"/>
            </a:solidFill>
            <a:ln>
              <a:noFill/>
            </a:ln>
            <a:effectLst/>
          </c:spPr>
          <c:invertIfNegative val="0"/>
          <c:cat>
            <c:strRef>
              <c:f>Distributions!$BU$21:$BU$22</c:f>
              <c:strCache>
                <c:ptCount val="1"/>
              </c:strCache>
            </c:strRef>
          </c:cat>
          <c:val>
            <c:numRef>
              <c:f>Distributions!$BV$21:$BV$22</c:f>
              <c:numCache>
                <c:formatCode>[$¥-804]#,##0.00</c:formatCode>
                <c:ptCount val="1"/>
                <c:pt idx="0">
                  <c:v>25057705178.23019</c:v>
                </c:pt>
              </c:numCache>
            </c:numRef>
          </c:val>
        </c:ser>
        <c:ser>
          <c:idx val="1"/>
          <c:order val="1"/>
          <c:tx>
            <c:strRef>
              <c:f>Distributions!$BW$20</c:f>
              <c:strCache>
                <c:ptCount val="1"/>
                <c:pt idx="0">
                  <c:v>本金余额占比</c:v>
                </c:pt>
              </c:strCache>
            </c:strRef>
          </c:tx>
          <c:spPr>
            <a:solidFill>
              <a:schemeClr val="accent2"/>
            </a:solidFill>
            <a:ln>
              <a:noFill/>
            </a:ln>
            <a:effectLst/>
          </c:spPr>
          <c:invertIfNegative val="0"/>
          <c:cat>
            <c:strRef>
              <c:f>Distributions!$BU$21:$BU$22</c:f>
              <c:strCache>
                <c:ptCount val="1"/>
              </c:strCache>
            </c:strRef>
          </c:cat>
          <c:val>
            <c:numRef>
              <c:f>Distributions!$BW$21:$BW$22</c:f>
              <c:numCache>
                <c:formatCode>0.00%</c:formatCode>
                <c:ptCount val="1"/>
                <c:pt idx="0">
                  <c:v>1.0000000000000131</c:v>
                </c:pt>
              </c:numCache>
            </c:numRef>
          </c:val>
        </c:ser>
        <c:ser>
          <c:idx val="2"/>
          <c:order val="2"/>
          <c:tx>
            <c:strRef>
              <c:f>Distributions!$BX$20</c:f>
              <c:strCache>
                <c:ptCount val="1"/>
                <c:pt idx="0">
                  <c:v>贷款笔数</c:v>
                </c:pt>
              </c:strCache>
            </c:strRef>
          </c:tx>
          <c:spPr>
            <a:solidFill>
              <a:schemeClr val="accent3"/>
            </a:solidFill>
            <a:ln>
              <a:noFill/>
            </a:ln>
            <a:effectLst/>
          </c:spPr>
          <c:invertIfNegative val="0"/>
          <c:cat>
            <c:strRef>
              <c:f>Distributions!$BU$21:$BU$22</c:f>
              <c:strCache>
                <c:ptCount val="1"/>
              </c:strCache>
            </c:strRef>
          </c:cat>
          <c:val>
            <c:numRef>
              <c:f>Distributions!$BX$21:$BX$22</c:f>
              <c:numCache>
                <c:formatCode>#,##0;\-#,##0</c:formatCode>
                <c:ptCount val="1"/>
                <c:pt idx="0">
                  <c:v>280106</c:v>
                </c:pt>
              </c:numCache>
            </c:numRef>
          </c:val>
        </c:ser>
        <c:ser>
          <c:idx val="3"/>
          <c:order val="3"/>
          <c:tx>
            <c:strRef>
              <c:f>Distributions!$BY$20</c:f>
              <c:strCache>
                <c:ptCount val="1"/>
                <c:pt idx="0">
                  <c:v>贷款笔数占比</c:v>
                </c:pt>
              </c:strCache>
            </c:strRef>
          </c:tx>
          <c:spPr>
            <a:solidFill>
              <a:schemeClr val="accent4"/>
            </a:solidFill>
            <a:ln>
              <a:noFill/>
            </a:ln>
            <a:effectLst/>
          </c:spPr>
          <c:invertIfNegative val="0"/>
          <c:cat>
            <c:strRef>
              <c:f>Distributions!$BU$21:$BU$22</c:f>
              <c:strCache>
                <c:ptCount val="1"/>
              </c:strCache>
            </c:strRef>
          </c:cat>
          <c:val>
            <c:numRef>
              <c:f>Distributions!$BY$21:$BY$22</c:f>
              <c:numCache>
                <c:formatCode>0.00%</c:formatCode>
                <c:ptCount val="1"/>
                <c:pt idx="0">
                  <c:v>1</c:v>
                </c:pt>
              </c:numCache>
            </c:numRef>
          </c:val>
        </c:ser>
        <c:ser>
          <c:idx val="4"/>
          <c:order val="4"/>
          <c:tx>
            <c:strRef>
              <c:f>Distributions!$BZ$20</c:f>
              <c:strCache>
                <c:ptCount val="1"/>
                <c:pt idx="0">
                  <c:v>合同金额</c:v>
                </c:pt>
              </c:strCache>
            </c:strRef>
          </c:tx>
          <c:spPr>
            <a:solidFill>
              <a:schemeClr val="accent5"/>
            </a:solidFill>
            <a:ln>
              <a:noFill/>
            </a:ln>
            <a:effectLst/>
          </c:spPr>
          <c:invertIfNegative val="0"/>
          <c:cat>
            <c:strRef>
              <c:f>Distributions!$BU$21:$BU$22</c:f>
              <c:strCache>
                <c:ptCount val="1"/>
              </c:strCache>
            </c:strRef>
          </c:cat>
          <c:val>
            <c:numRef>
              <c:f>Distributions!$BZ$21:$BZ$22</c:f>
              <c:numCache>
                <c:formatCode>"¥"#,##0.00</c:formatCode>
                <c:ptCount val="1"/>
                <c:pt idx="0">
                  <c:v>42599489439</c:v>
                </c:pt>
              </c:numCache>
            </c:numRef>
          </c:val>
        </c:ser>
        <c:ser>
          <c:idx val="5"/>
          <c:order val="5"/>
          <c:tx>
            <c:strRef>
              <c:f>Distributions!$CA$20</c:f>
              <c:strCache>
                <c:ptCount val="1"/>
                <c:pt idx="0">
                  <c:v>合同金额占比</c:v>
                </c:pt>
              </c:strCache>
            </c:strRef>
          </c:tx>
          <c:spPr>
            <a:solidFill>
              <a:schemeClr val="accent6"/>
            </a:solidFill>
            <a:ln>
              <a:noFill/>
            </a:ln>
            <a:effectLst/>
          </c:spPr>
          <c:invertIfNegative val="0"/>
          <c:cat>
            <c:strRef>
              <c:f>Distributions!$BU$21:$BU$22</c:f>
              <c:strCache>
                <c:ptCount val="1"/>
              </c:strCache>
            </c:strRef>
          </c:cat>
          <c:val>
            <c:numRef>
              <c:f>Distributions!$CA$21:$CA$22</c:f>
              <c:numCache>
                <c:formatCode>0.00%</c:formatCode>
                <c:ptCount val="1"/>
                <c:pt idx="0">
                  <c:v>1</c:v>
                </c:pt>
              </c:numCache>
            </c:numRef>
          </c:val>
        </c:ser>
        <c:dLbls>
          <c:showLegendKey val="0"/>
          <c:showVal val="0"/>
          <c:showCatName val="0"/>
          <c:showSerName val="0"/>
          <c:showPercent val="0"/>
          <c:showBubbleSize val="0"/>
        </c:dLbls>
        <c:gapWidth val="219"/>
        <c:overlap val="-27"/>
        <c:axId val="247885376"/>
        <c:axId val="247885920"/>
      </c:barChart>
      <c:catAx>
        <c:axId val="24788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85920"/>
        <c:crosses val="autoZero"/>
        <c:auto val="1"/>
        <c:lblAlgn val="ctr"/>
        <c:lblOffset val="100"/>
        <c:noMultiLvlLbl val="0"/>
      </c:catAx>
      <c:valAx>
        <c:axId val="2478859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8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ser>
          <c:idx val="0"/>
          <c:order val="0"/>
          <c:tx>
            <c:strRef>
              <c:f>Distributions!$CD$20</c:f>
              <c:strCache>
                <c:ptCount val="1"/>
                <c:pt idx="0">
                  <c:v>本金余额</c:v>
                </c:pt>
              </c:strCache>
            </c:strRef>
          </c:tx>
          <c:spPr>
            <a:solidFill>
              <a:schemeClr val="accent1"/>
            </a:solidFill>
            <a:ln>
              <a:noFill/>
            </a:ln>
            <a:effectLst/>
          </c:spPr>
          <c:invertIfNegative val="0"/>
          <c:cat>
            <c:strRef>
              <c:f>Distributions!$CC$21:$CC$86</c:f>
              <c:strCache>
                <c:ptCount val="65"/>
                <c:pt idx="1">
                  <c:v>0211司局级以上干部</c:v>
                </c:pt>
                <c:pt idx="2">
                  <c:v>0311高级研究员/分析员</c:v>
                </c:pt>
                <c:pt idx="3">
                  <c:v>1.[国家党政机关、事业单位]</c:v>
                </c:pt>
                <c:pt idx="4">
                  <c:v>1.国家党政机关、事业单位</c:v>
                </c:pt>
                <c:pt idx="5">
                  <c:v>2.教育机构</c:v>
                </c:pt>
                <c:pt idx="6">
                  <c:v>3.医疗机构</c:v>
                </c:pt>
                <c:pt idx="7">
                  <c:v>4.金融业</c:v>
                </c:pt>
                <c:pt idx="8">
                  <c:v>5.[贸易、商业、事务所]</c:v>
                </c:pt>
                <c:pt idx="9">
                  <c:v>5.贸易、商业、事务所</c:v>
                </c:pt>
                <c:pt idx="10">
                  <c:v>6.[贸易、商业、事务所]</c:v>
                </c:pt>
                <c:pt idx="11">
                  <c:v>6.建筑、制造业</c:v>
                </c:pt>
                <c:pt idx="12">
                  <c:v>7.酒店、餐饮、娱乐</c:v>
                </c:pt>
                <c:pt idx="13">
                  <c:v>8.个体经营</c:v>
                </c:pt>
                <c:pt idx="14">
                  <c:v>9.其他</c:v>
                </c:pt>
                <c:pt idx="15">
                  <c:v>上市公司高级管理层</c:v>
                </c:pt>
                <c:pt idx="16">
                  <c:v>专业人士</c:v>
                </c:pt>
                <c:pt idx="17">
                  <c:v>专业技术工人</c:v>
                </c:pt>
                <c:pt idx="18">
                  <c:v>个体工商户</c:v>
                </c:pt>
                <c:pt idx="19">
                  <c:v>中级研究员、分析员</c:v>
                </c:pt>
                <c:pt idx="20">
                  <c:v>企业普通职员</c:v>
                </c:pt>
                <c:pt idx="21">
                  <c:v>企业管理人员</c:v>
                </c:pt>
                <c:pt idx="22">
                  <c:v>会计师</c:v>
                </c:pt>
                <c:pt idx="23">
                  <c:v>公检法机关人员</c:v>
                </c:pt>
                <c:pt idx="24">
                  <c:v>其他</c:v>
                </c:pt>
                <c:pt idx="25">
                  <c:v>其他专业人士</c:v>
                </c:pt>
                <c:pt idx="26">
                  <c:v>其他文体工作者</c:v>
                </c:pt>
                <c:pt idx="27">
                  <c:v>其他普通职员</c:v>
                </c:pt>
                <c:pt idx="28">
                  <c:v>其他管理人员</c:v>
                </c:pt>
                <c:pt idx="29">
                  <c:v>其他经济人员</c:v>
                </c:pt>
                <c:pt idx="30">
                  <c:v>军人、武警战士</c:v>
                </c:pt>
                <c:pt idx="31">
                  <c:v>农民</c:v>
                </c:pt>
                <c:pt idx="32">
                  <c:v>医生</c:v>
                </c:pt>
                <c:pt idx="33">
                  <c:v>医疗辅助人员</c:v>
                </c:pt>
                <c:pt idx="34">
                  <c:v>国家机关公务员、事业单位人员</c:v>
                </c:pt>
                <c:pt idx="35">
                  <c:v>国有企业高级管理层</c:v>
                </c:pt>
                <c:pt idx="36">
                  <c:v>处级以上干部</c:v>
                </c:pt>
                <c:pt idx="37">
                  <c:v>媒体工作者</c:v>
                </c:pt>
                <c:pt idx="38">
                  <c:v>学生</c:v>
                </c:pt>
                <c:pt idx="39">
                  <c:v>审计师</c:v>
                </c:pt>
                <c:pt idx="40">
                  <c:v>家庭主妇</c:v>
                </c:pt>
                <c:pt idx="41">
                  <c:v>小微企业主</c:v>
                </c:pt>
                <c:pt idx="42">
                  <c:v>工程师</c:v>
                </c:pt>
                <c:pt idx="43">
                  <c:v>待业、无业</c:v>
                </c:pt>
                <c:pt idx="44">
                  <c:v>律师</c:v>
                </c:pt>
                <c:pt idx="45">
                  <c:v>技术人员</c:v>
                </c:pt>
                <c:pt idx="46">
                  <c:v>教师</c:v>
                </c:pt>
                <c:pt idx="47">
                  <c:v>文体工作者</c:v>
                </c:pt>
                <c:pt idx="48">
                  <c:v>文化、教育</c:v>
                </c:pt>
                <c:pt idx="49">
                  <c:v>文员</c:v>
                </c:pt>
                <c:pt idx="50">
                  <c:v>普通公职人员</c:v>
                </c:pt>
                <c:pt idx="51">
                  <c:v>普通工人</c:v>
                </c:pt>
                <c:pt idx="52">
                  <c:v>普通研究员、分析员</c:v>
                </c:pt>
                <c:pt idx="53">
                  <c:v>服务人员</c:v>
                </c:pt>
                <c:pt idx="54">
                  <c:v>演艺人员</c:v>
                </c:pt>
                <c:pt idx="55">
                  <c:v>煤炭、钢铁</c:v>
                </c:pt>
                <c:pt idx="56">
                  <c:v>离退休人员</c:v>
                </c:pt>
                <c:pt idx="57">
                  <c:v>私营企业管理人员</c:v>
                </c:pt>
                <c:pt idx="58">
                  <c:v>科技人员</c:v>
                </c:pt>
                <c:pt idx="59">
                  <c:v>经济人员</c:v>
                </c:pt>
                <c:pt idx="60">
                  <c:v>翻译</c:v>
                </c:pt>
                <c:pt idx="61">
                  <c:v>自由职业者</c:v>
                </c:pt>
                <c:pt idx="62">
                  <c:v>设计师</c:v>
                </c:pt>
                <c:pt idx="63">
                  <c:v>财务人员</c:v>
                </c:pt>
                <c:pt idx="64">
                  <c:v>销售人员</c:v>
                </c:pt>
              </c:strCache>
            </c:strRef>
          </c:cat>
          <c:val>
            <c:numRef>
              <c:f>Distributions!$CD$21:$CD$86</c:f>
              <c:numCache>
                <c:formatCode>#,##0.00;\-#,##0.00</c:formatCode>
                <c:ptCount val="65"/>
                <c:pt idx="0">
                  <c:v>5000177.38</c:v>
                </c:pt>
                <c:pt idx="1">
                  <c:v>485006.26</c:v>
                </c:pt>
                <c:pt idx="2">
                  <c:v>352134.22</c:v>
                </c:pt>
                <c:pt idx="3">
                  <c:v>388722.27999999997</c:v>
                </c:pt>
                <c:pt idx="4">
                  <c:v>1682836157.0999815</c:v>
                </c:pt>
                <c:pt idx="5">
                  <c:v>809772559.3199966</c:v>
                </c:pt>
                <c:pt idx="6">
                  <c:v>401566336.71000195</c:v>
                </c:pt>
                <c:pt idx="7">
                  <c:v>796998390.62999654</c:v>
                </c:pt>
                <c:pt idx="8">
                  <c:v>598888.92000000004</c:v>
                </c:pt>
                <c:pt idx="9">
                  <c:v>3399754414.7400627</c:v>
                </c:pt>
                <c:pt idx="10">
                  <c:v>50000.160000000003</c:v>
                </c:pt>
                <c:pt idx="11">
                  <c:v>5679846925.8000317</c:v>
                </c:pt>
                <c:pt idx="12">
                  <c:v>776468895.5100013</c:v>
                </c:pt>
                <c:pt idx="13">
                  <c:v>1066059335.6399969</c:v>
                </c:pt>
                <c:pt idx="14">
                  <c:v>16066227.059999991</c:v>
                </c:pt>
                <c:pt idx="15">
                  <c:v>3027005.0400000005</c:v>
                </c:pt>
                <c:pt idx="16">
                  <c:v>57314864.019999988</c:v>
                </c:pt>
                <c:pt idx="17">
                  <c:v>38734588.140000015</c:v>
                </c:pt>
                <c:pt idx="18">
                  <c:v>469922968.77999938</c:v>
                </c:pt>
                <c:pt idx="19">
                  <c:v>3225830.3</c:v>
                </c:pt>
                <c:pt idx="20">
                  <c:v>1278555334.8200016</c:v>
                </c:pt>
                <c:pt idx="21">
                  <c:v>1062499981.4399999</c:v>
                </c:pt>
                <c:pt idx="22">
                  <c:v>2888283.08</c:v>
                </c:pt>
                <c:pt idx="23">
                  <c:v>1077482.94</c:v>
                </c:pt>
                <c:pt idx="24">
                  <c:v>161149229.15999994</c:v>
                </c:pt>
                <c:pt idx="25">
                  <c:v>44837159.100000009</c:v>
                </c:pt>
                <c:pt idx="26">
                  <c:v>2468850.62</c:v>
                </c:pt>
                <c:pt idx="27">
                  <c:v>773274235.78000164</c:v>
                </c:pt>
                <c:pt idx="28">
                  <c:v>560846242.58000088</c:v>
                </c:pt>
                <c:pt idx="29">
                  <c:v>14420747.539999999</c:v>
                </c:pt>
                <c:pt idx="30">
                  <c:v>24287198.999999993</c:v>
                </c:pt>
                <c:pt idx="31">
                  <c:v>11195833.180000002</c:v>
                </c:pt>
                <c:pt idx="32">
                  <c:v>33096302.119999994</c:v>
                </c:pt>
                <c:pt idx="33">
                  <c:v>27920383.120000008</c:v>
                </c:pt>
                <c:pt idx="34">
                  <c:v>57975834.620000012</c:v>
                </c:pt>
                <c:pt idx="35">
                  <c:v>3596985.62</c:v>
                </c:pt>
                <c:pt idx="36">
                  <c:v>2079232.02</c:v>
                </c:pt>
                <c:pt idx="37">
                  <c:v>3580231.3400000003</c:v>
                </c:pt>
                <c:pt idx="38">
                  <c:v>53286297.359999985</c:v>
                </c:pt>
                <c:pt idx="39">
                  <c:v>483780.28</c:v>
                </c:pt>
                <c:pt idx="40">
                  <c:v>17014023.440000001</c:v>
                </c:pt>
                <c:pt idx="41">
                  <c:v>530317445.67999953</c:v>
                </c:pt>
                <c:pt idx="42">
                  <c:v>77655925.38000001</c:v>
                </c:pt>
                <c:pt idx="43">
                  <c:v>15447174.439999998</c:v>
                </c:pt>
                <c:pt idx="44">
                  <c:v>11946167.52</c:v>
                </c:pt>
                <c:pt idx="45">
                  <c:v>20815846.680000003</c:v>
                </c:pt>
                <c:pt idx="46">
                  <c:v>105573946.8</c:v>
                </c:pt>
                <c:pt idx="47">
                  <c:v>1765560.3599999999</c:v>
                </c:pt>
                <c:pt idx="48">
                  <c:v>4009000000</c:v>
                </c:pt>
                <c:pt idx="49">
                  <c:v>24534020.260000005</c:v>
                </c:pt>
                <c:pt idx="50">
                  <c:v>38243752.779999994</c:v>
                </c:pt>
                <c:pt idx="51">
                  <c:v>90902515.64000003</c:v>
                </c:pt>
                <c:pt idx="52">
                  <c:v>2923683.9200000004</c:v>
                </c:pt>
                <c:pt idx="53">
                  <c:v>23334986.620000005</c:v>
                </c:pt>
                <c:pt idx="54">
                  <c:v>1447038.06</c:v>
                </c:pt>
                <c:pt idx="55">
                  <c:v>116400000</c:v>
                </c:pt>
                <c:pt idx="56">
                  <c:v>35470913.120000005</c:v>
                </c:pt>
                <c:pt idx="57">
                  <c:v>271017159.58000016</c:v>
                </c:pt>
                <c:pt idx="58">
                  <c:v>3034874.24</c:v>
                </c:pt>
                <c:pt idx="59">
                  <c:v>35214420</c:v>
                </c:pt>
                <c:pt idx="60">
                  <c:v>441263.94</c:v>
                </c:pt>
                <c:pt idx="61">
                  <c:v>50076343.039999984</c:v>
                </c:pt>
                <c:pt idx="62">
                  <c:v>17216163.480000004</c:v>
                </c:pt>
                <c:pt idx="63">
                  <c:v>106353076.23999998</c:v>
                </c:pt>
                <c:pt idx="64">
                  <c:v>123569823.28</c:v>
                </c:pt>
              </c:numCache>
            </c:numRef>
          </c:val>
        </c:ser>
        <c:ser>
          <c:idx val="1"/>
          <c:order val="1"/>
          <c:tx>
            <c:strRef>
              <c:f>Distributions!$CE$20</c:f>
              <c:strCache>
                <c:ptCount val="1"/>
                <c:pt idx="0">
                  <c:v>本金余额占比</c:v>
                </c:pt>
              </c:strCache>
            </c:strRef>
          </c:tx>
          <c:spPr>
            <a:solidFill>
              <a:schemeClr val="accent2"/>
            </a:solidFill>
            <a:ln>
              <a:noFill/>
            </a:ln>
            <a:effectLst/>
          </c:spPr>
          <c:invertIfNegative val="0"/>
          <c:cat>
            <c:strRef>
              <c:f>Distributions!$CC$21:$CC$86</c:f>
              <c:strCache>
                <c:ptCount val="65"/>
                <c:pt idx="1">
                  <c:v>0211司局级以上干部</c:v>
                </c:pt>
                <c:pt idx="2">
                  <c:v>0311高级研究员/分析员</c:v>
                </c:pt>
                <c:pt idx="3">
                  <c:v>1.[国家党政机关、事业单位]</c:v>
                </c:pt>
                <c:pt idx="4">
                  <c:v>1.国家党政机关、事业单位</c:v>
                </c:pt>
                <c:pt idx="5">
                  <c:v>2.教育机构</c:v>
                </c:pt>
                <c:pt idx="6">
                  <c:v>3.医疗机构</c:v>
                </c:pt>
                <c:pt idx="7">
                  <c:v>4.金融业</c:v>
                </c:pt>
                <c:pt idx="8">
                  <c:v>5.[贸易、商业、事务所]</c:v>
                </c:pt>
                <c:pt idx="9">
                  <c:v>5.贸易、商业、事务所</c:v>
                </c:pt>
                <c:pt idx="10">
                  <c:v>6.[贸易、商业、事务所]</c:v>
                </c:pt>
                <c:pt idx="11">
                  <c:v>6.建筑、制造业</c:v>
                </c:pt>
                <c:pt idx="12">
                  <c:v>7.酒店、餐饮、娱乐</c:v>
                </c:pt>
                <c:pt idx="13">
                  <c:v>8.个体经营</c:v>
                </c:pt>
                <c:pt idx="14">
                  <c:v>9.其他</c:v>
                </c:pt>
                <c:pt idx="15">
                  <c:v>上市公司高级管理层</c:v>
                </c:pt>
                <c:pt idx="16">
                  <c:v>专业人士</c:v>
                </c:pt>
                <c:pt idx="17">
                  <c:v>专业技术工人</c:v>
                </c:pt>
                <c:pt idx="18">
                  <c:v>个体工商户</c:v>
                </c:pt>
                <c:pt idx="19">
                  <c:v>中级研究员、分析员</c:v>
                </c:pt>
                <c:pt idx="20">
                  <c:v>企业普通职员</c:v>
                </c:pt>
                <c:pt idx="21">
                  <c:v>企业管理人员</c:v>
                </c:pt>
                <c:pt idx="22">
                  <c:v>会计师</c:v>
                </c:pt>
                <c:pt idx="23">
                  <c:v>公检法机关人员</c:v>
                </c:pt>
                <c:pt idx="24">
                  <c:v>其他</c:v>
                </c:pt>
                <c:pt idx="25">
                  <c:v>其他专业人士</c:v>
                </c:pt>
                <c:pt idx="26">
                  <c:v>其他文体工作者</c:v>
                </c:pt>
                <c:pt idx="27">
                  <c:v>其他普通职员</c:v>
                </c:pt>
                <c:pt idx="28">
                  <c:v>其他管理人员</c:v>
                </c:pt>
                <c:pt idx="29">
                  <c:v>其他经济人员</c:v>
                </c:pt>
                <c:pt idx="30">
                  <c:v>军人、武警战士</c:v>
                </c:pt>
                <c:pt idx="31">
                  <c:v>农民</c:v>
                </c:pt>
                <c:pt idx="32">
                  <c:v>医生</c:v>
                </c:pt>
                <c:pt idx="33">
                  <c:v>医疗辅助人员</c:v>
                </c:pt>
                <c:pt idx="34">
                  <c:v>国家机关公务员、事业单位人员</c:v>
                </c:pt>
                <c:pt idx="35">
                  <c:v>国有企业高级管理层</c:v>
                </c:pt>
                <c:pt idx="36">
                  <c:v>处级以上干部</c:v>
                </c:pt>
                <c:pt idx="37">
                  <c:v>媒体工作者</c:v>
                </c:pt>
                <c:pt idx="38">
                  <c:v>学生</c:v>
                </c:pt>
                <c:pt idx="39">
                  <c:v>审计师</c:v>
                </c:pt>
                <c:pt idx="40">
                  <c:v>家庭主妇</c:v>
                </c:pt>
                <c:pt idx="41">
                  <c:v>小微企业主</c:v>
                </c:pt>
                <c:pt idx="42">
                  <c:v>工程师</c:v>
                </c:pt>
                <c:pt idx="43">
                  <c:v>待业、无业</c:v>
                </c:pt>
                <c:pt idx="44">
                  <c:v>律师</c:v>
                </c:pt>
                <c:pt idx="45">
                  <c:v>技术人员</c:v>
                </c:pt>
                <c:pt idx="46">
                  <c:v>教师</c:v>
                </c:pt>
                <c:pt idx="47">
                  <c:v>文体工作者</c:v>
                </c:pt>
                <c:pt idx="48">
                  <c:v>文化、教育</c:v>
                </c:pt>
                <c:pt idx="49">
                  <c:v>文员</c:v>
                </c:pt>
                <c:pt idx="50">
                  <c:v>普通公职人员</c:v>
                </c:pt>
                <c:pt idx="51">
                  <c:v>普通工人</c:v>
                </c:pt>
                <c:pt idx="52">
                  <c:v>普通研究员、分析员</c:v>
                </c:pt>
                <c:pt idx="53">
                  <c:v>服务人员</c:v>
                </c:pt>
                <c:pt idx="54">
                  <c:v>演艺人员</c:v>
                </c:pt>
                <c:pt idx="55">
                  <c:v>煤炭、钢铁</c:v>
                </c:pt>
                <c:pt idx="56">
                  <c:v>离退休人员</c:v>
                </c:pt>
                <c:pt idx="57">
                  <c:v>私营企业管理人员</c:v>
                </c:pt>
                <c:pt idx="58">
                  <c:v>科技人员</c:v>
                </c:pt>
                <c:pt idx="59">
                  <c:v>经济人员</c:v>
                </c:pt>
                <c:pt idx="60">
                  <c:v>翻译</c:v>
                </c:pt>
                <c:pt idx="61">
                  <c:v>自由职业者</c:v>
                </c:pt>
                <c:pt idx="62">
                  <c:v>设计师</c:v>
                </c:pt>
                <c:pt idx="63">
                  <c:v>财务人员</c:v>
                </c:pt>
                <c:pt idx="64">
                  <c:v>销售人员</c:v>
                </c:pt>
              </c:strCache>
            </c:strRef>
          </c:cat>
          <c:val>
            <c:numRef>
              <c:f>Distributions!$CE$21:$CE$86</c:f>
              <c:numCache>
                <c:formatCode>0.00%</c:formatCode>
                <c:ptCount val="65"/>
                <c:pt idx="0">
                  <c:v>1.9954650054483661E-4</c:v>
                </c:pt>
                <c:pt idx="1">
                  <c:v>1.9355573726734303E-5</c:v>
                </c:pt>
                <c:pt idx="2">
                  <c:v>1.4052931722811322E-5</c:v>
                </c:pt>
                <c:pt idx="3">
                  <c:v>1.5513083789401512E-5</c:v>
                </c:pt>
                <c:pt idx="4">
                  <c:v>6.7158430715436382E-2</c:v>
                </c:pt>
                <c:pt idx="5">
                  <c:v>3.2316309636507619E-2</c:v>
                </c:pt>
                <c:pt idx="6">
                  <c:v>1.6025662919000372E-2</c:v>
                </c:pt>
                <c:pt idx="7">
                  <c:v>3.1806519589927529E-2</c:v>
                </c:pt>
                <c:pt idx="8">
                  <c:v>2.3900389749988551E-5</c:v>
                </c:pt>
                <c:pt idx="9">
                  <c:v>0.13567700595718438</c:v>
                </c:pt>
                <c:pt idx="10">
                  <c:v>1.9954006021046232E-6</c:v>
                </c:pt>
                <c:pt idx="11">
                  <c:v>0.22667067416591219</c:v>
                </c:pt>
                <c:pt idx="12">
                  <c:v>3.0987230873184574E-2</c:v>
                </c:pt>
                <c:pt idx="13">
                  <c:v>4.2544172662953565E-2</c:v>
                </c:pt>
                <c:pt idx="14">
                  <c:v>6.4116913124025144E-4</c:v>
                </c:pt>
                <c:pt idx="15">
                  <c:v>1.2080136702342013E-4</c:v>
                </c:pt>
                <c:pt idx="16">
                  <c:v>2.2873149640931663E-3</c:v>
                </c:pt>
                <c:pt idx="17">
                  <c:v>1.5458154633271298E-3</c:v>
                </c:pt>
                <c:pt idx="18">
                  <c:v>1.8753631485307305E-2</c:v>
                </c:pt>
                <c:pt idx="19">
                  <c:v>1.2873606250274672E-4</c:v>
                </c:pt>
                <c:pt idx="20">
                  <c:v>5.1024438420275237E-2</c:v>
                </c:pt>
                <c:pt idx="21">
                  <c:v>4.2402126367226164E-2</c:v>
                </c:pt>
                <c:pt idx="22">
                  <c:v>1.1526526708875723E-4</c:v>
                </c:pt>
                <c:pt idx="23">
                  <c:v>4.3000064544462645E-5</c:v>
                </c:pt>
                <c:pt idx="24">
                  <c:v>6.4311247982918405E-3</c:v>
                </c:pt>
                <c:pt idx="25">
                  <c:v>1.7893561593563061E-3</c:v>
                </c:pt>
                <c:pt idx="26">
                  <c:v>9.8526604987951485E-5</c:v>
                </c:pt>
                <c:pt idx="27">
                  <c:v>3.0859738762184112E-2</c:v>
                </c:pt>
                <c:pt idx="28">
                  <c:v>2.238218697964665E-2</c:v>
                </c:pt>
                <c:pt idx="29">
                  <c:v>5.7550152487741558E-4</c:v>
                </c:pt>
                <c:pt idx="30">
                  <c:v>9.6925072855836431E-4</c:v>
                </c:pt>
                <c:pt idx="31">
                  <c:v>4.4680201560224849E-4</c:v>
                </c:pt>
                <c:pt idx="32">
                  <c:v>1.3208033969828198E-3</c:v>
                </c:pt>
                <c:pt idx="33">
                  <c:v>1.1142434201938506E-3</c:v>
                </c:pt>
                <c:pt idx="34">
                  <c:v>2.313692902348034E-3</c:v>
                </c:pt>
                <c:pt idx="35">
                  <c:v>1.4354808608431794E-4</c:v>
                </c:pt>
                <c:pt idx="36">
                  <c:v>8.2977750963661158E-5</c:v>
                </c:pt>
                <c:pt idx="37">
                  <c:v>1.4287945821593056E-4</c:v>
                </c:pt>
                <c:pt idx="38">
                  <c:v>2.1265433917825455E-3</c:v>
                </c:pt>
                <c:pt idx="39">
                  <c:v>1.9306647458694996E-5</c:v>
                </c:pt>
                <c:pt idx="40">
                  <c:v>6.7899367954818901E-4</c:v>
                </c:pt>
                <c:pt idx="41">
                  <c:v>2.116384728401783E-2</c:v>
                </c:pt>
                <c:pt idx="42">
                  <c:v>3.0990836881370724E-3</c:v>
                </c:pt>
                <c:pt idx="43">
                  <c:v>6.1646405088285994E-4</c:v>
                </c:pt>
                <c:pt idx="44">
                  <c:v>4.767462716569445E-4</c:v>
                </c:pt>
                <c:pt idx="45">
                  <c:v>8.3071640167930517E-4</c:v>
                </c:pt>
                <c:pt idx="46">
                  <c:v>4.2132328578804836E-3</c:v>
                </c:pt>
                <c:pt idx="47">
                  <c:v>7.0459778636629467E-5</c:v>
                </c:pt>
                <c:pt idx="48">
                  <c:v>0.1599907083064821</c:v>
                </c:pt>
                <c:pt idx="49">
                  <c:v>9.7910084285432355E-4</c:v>
                </c:pt>
                <c:pt idx="50">
                  <c:v>1.5262272625518067E-3</c:v>
                </c:pt>
                <c:pt idx="51">
                  <c:v>3.6277270800909632E-3</c:v>
                </c:pt>
                <c:pt idx="52">
                  <c:v>1.1667803971690501E-4</c:v>
                </c:pt>
                <c:pt idx="53">
                  <c:v>9.312499470331961E-4</c:v>
                </c:pt>
                <c:pt idx="54">
                  <c:v>5.7748227529518023E-5</c:v>
                </c:pt>
                <c:pt idx="55">
                  <c:v>4.6452777368108048E-3</c:v>
                </c:pt>
                <c:pt idx="56">
                  <c:v>1.4155690981158618E-3</c:v>
                </c:pt>
                <c:pt idx="57">
                  <c:v>1.0815721457823675E-2</c:v>
                </c:pt>
                <c:pt idx="58">
                  <c:v>1.2111541014684376E-4</c:v>
                </c:pt>
                <c:pt idx="59">
                  <c:v>1.4053330003497007E-3</c:v>
                </c:pt>
                <c:pt idx="60">
                  <c:v>1.7609910279548272E-5</c:v>
                </c:pt>
                <c:pt idx="61">
                  <c:v>1.9984409060533732E-3</c:v>
                </c:pt>
                <c:pt idx="62">
                  <c:v>6.8706066088435784E-4</c:v>
                </c:pt>
                <c:pt idx="63">
                  <c:v>4.2443262654554472E-3</c:v>
                </c:pt>
                <c:pt idx="64">
                  <c:v>4.9314102149847893E-3</c:v>
                </c:pt>
              </c:numCache>
            </c:numRef>
          </c:val>
        </c:ser>
        <c:ser>
          <c:idx val="2"/>
          <c:order val="2"/>
          <c:tx>
            <c:strRef>
              <c:f>Distributions!$CF$20</c:f>
              <c:strCache>
                <c:ptCount val="1"/>
                <c:pt idx="0">
                  <c:v>贷款笔数</c:v>
                </c:pt>
              </c:strCache>
            </c:strRef>
          </c:tx>
          <c:spPr>
            <a:solidFill>
              <a:schemeClr val="accent3"/>
            </a:solidFill>
            <a:ln>
              <a:noFill/>
            </a:ln>
            <a:effectLst/>
          </c:spPr>
          <c:invertIfNegative val="0"/>
          <c:cat>
            <c:strRef>
              <c:f>Distributions!$CC$21:$CC$86</c:f>
              <c:strCache>
                <c:ptCount val="65"/>
                <c:pt idx="1">
                  <c:v>0211司局级以上干部</c:v>
                </c:pt>
                <c:pt idx="2">
                  <c:v>0311高级研究员/分析员</c:v>
                </c:pt>
                <c:pt idx="3">
                  <c:v>1.[国家党政机关、事业单位]</c:v>
                </c:pt>
                <c:pt idx="4">
                  <c:v>1.国家党政机关、事业单位</c:v>
                </c:pt>
                <c:pt idx="5">
                  <c:v>2.教育机构</c:v>
                </c:pt>
                <c:pt idx="6">
                  <c:v>3.医疗机构</c:v>
                </c:pt>
                <c:pt idx="7">
                  <c:v>4.金融业</c:v>
                </c:pt>
                <c:pt idx="8">
                  <c:v>5.[贸易、商业、事务所]</c:v>
                </c:pt>
                <c:pt idx="9">
                  <c:v>5.贸易、商业、事务所</c:v>
                </c:pt>
                <c:pt idx="10">
                  <c:v>6.[贸易、商业、事务所]</c:v>
                </c:pt>
                <c:pt idx="11">
                  <c:v>6.建筑、制造业</c:v>
                </c:pt>
                <c:pt idx="12">
                  <c:v>7.酒店、餐饮、娱乐</c:v>
                </c:pt>
                <c:pt idx="13">
                  <c:v>8.个体经营</c:v>
                </c:pt>
                <c:pt idx="14">
                  <c:v>9.其他</c:v>
                </c:pt>
                <c:pt idx="15">
                  <c:v>上市公司高级管理层</c:v>
                </c:pt>
                <c:pt idx="16">
                  <c:v>专业人士</c:v>
                </c:pt>
                <c:pt idx="17">
                  <c:v>专业技术工人</c:v>
                </c:pt>
                <c:pt idx="18">
                  <c:v>个体工商户</c:v>
                </c:pt>
                <c:pt idx="19">
                  <c:v>中级研究员、分析员</c:v>
                </c:pt>
                <c:pt idx="20">
                  <c:v>企业普通职员</c:v>
                </c:pt>
                <c:pt idx="21">
                  <c:v>企业管理人员</c:v>
                </c:pt>
                <c:pt idx="22">
                  <c:v>会计师</c:v>
                </c:pt>
                <c:pt idx="23">
                  <c:v>公检法机关人员</c:v>
                </c:pt>
                <c:pt idx="24">
                  <c:v>其他</c:v>
                </c:pt>
                <c:pt idx="25">
                  <c:v>其他专业人士</c:v>
                </c:pt>
                <c:pt idx="26">
                  <c:v>其他文体工作者</c:v>
                </c:pt>
                <c:pt idx="27">
                  <c:v>其他普通职员</c:v>
                </c:pt>
                <c:pt idx="28">
                  <c:v>其他管理人员</c:v>
                </c:pt>
                <c:pt idx="29">
                  <c:v>其他经济人员</c:v>
                </c:pt>
                <c:pt idx="30">
                  <c:v>军人、武警战士</c:v>
                </c:pt>
                <c:pt idx="31">
                  <c:v>农民</c:v>
                </c:pt>
                <c:pt idx="32">
                  <c:v>医生</c:v>
                </c:pt>
                <c:pt idx="33">
                  <c:v>医疗辅助人员</c:v>
                </c:pt>
                <c:pt idx="34">
                  <c:v>国家机关公务员、事业单位人员</c:v>
                </c:pt>
                <c:pt idx="35">
                  <c:v>国有企业高级管理层</c:v>
                </c:pt>
                <c:pt idx="36">
                  <c:v>处级以上干部</c:v>
                </c:pt>
                <c:pt idx="37">
                  <c:v>媒体工作者</c:v>
                </c:pt>
                <c:pt idx="38">
                  <c:v>学生</c:v>
                </c:pt>
                <c:pt idx="39">
                  <c:v>审计师</c:v>
                </c:pt>
                <c:pt idx="40">
                  <c:v>家庭主妇</c:v>
                </c:pt>
                <c:pt idx="41">
                  <c:v>小微企业主</c:v>
                </c:pt>
                <c:pt idx="42">
                  <c:v>工程师</c:v>
                </c:pt>
                <c:pt idx="43">
                  <c:v>待业、无业</c:v>
                </c:pt>
                <c:pt idx="44">
                  <c:v>律师</c:v>
                </c:pt>
                <c:pt idx="45">
                  <c:v>技术人员</c:v>
                </c:pt>
                <c:pt idx="46">
                  <c:v>教师</c:v>
                </c:pt>
                <c:pt idx="47">
                  <c:v>文体工作者</c:v>
                </c:pt>
                <c:pt idx="48">
                  <c:v>文化、教育</c:v>
                </c:pt>
                <c:pt idx="49">
                  <c:v>文员</c:v>
                </c:pt>
                <c:pt idx="50">
                  <c:v>普通公职人员</c:v>
                </c:pt>
                <c:pt idx="51">
                  <c:v>普通工人</c:v>
                </c:pt>
                <c:pt idx="52">
                  <c:v>普通研究员、分析员</c:v>
                </c:pt>
                <c:pt idx="53">
                  <c:v>服务人员</c:v>
                </c:pt>
                <c:pt idx="54">
                  <c:v>演艺人员</c:v>
                </c:pt>
                <c:pt idx="55">
                  <c:v>煤炭、钢铁</c:v>
                </c:pt>
                <c:pt idx="56">
                  <c:v>离退休人员</c:v>
                </c:pt>
                <c:pt idx="57">
                  <c:v>私营企业管理人员</c:v>
                </c:pt>
                <c:pt idx="58">
                  <c:v>科技人员</c:v>
                </c:pt>
                <c:pt idx="59">
                  <c:v>经济人员</c:v>
                </c:pt>
                <c:pt idx="60">
                  <c:v>翻译</c:v>
                </c:pt>
                <c:pt idx="61">
                  <c:v>自由职业者</c:v>
                </c:pt>
                <c:pt idx="62">
                  <c:v>设计师</c:v>
                </c:pt>
                <c:pt idx="63">
                  <c:v>财务人员</c:v>
                </c:pt>
                <c:pt idx="64">
                  <c:v>销售人员</c:v>
                </c:pt>
              </c:strCache>
            </c:strRef>
          </c:cat>
          <c:val>
            <c:numRef>
              <c:f>Distributions!$CF$21:$CF$86</c:f>
              <c:numCache>
                <c:formatCode>#,##0;\-#,##0</c:formatCode>
                <c:ptCount val="65"/>
                <c:pt idx="0">
                  <c:v>8</c:v>
                </c:pt>
                <c:pt idx="1">
                  <c:v>2</c:v>
                </c:pt>
                <c:pt idx="2">
                  <c:v>2</c:v>
                </c:pt>
                <c:pt idx="3">
                  <c:v>8</c:v>
                </c:pt>
                <c:pt idx="4">
                  <c:v>29688</c:v>
                </c:pt>
                <c:pt idx="5">
                  <c:v>14805</c:v>
                </c:pt>
                <c:pt idx="6">
                  <c:v>7485</c:v>
                </c:pt>
                <c:pt idx="7">
                  <c:v>13299</c:v>
                </c:pt>
                <c:pt idx="8">
                  <c:v>4</c:v>
                </c:pt>
                <c:pt idx="9">
                  <c:v>61218</c:v>
                </c:pt>
                <c:pt idx="10">
                  <c:v>2</c:v>
                </c:pt>
                <c:pt idx="11">
                  <c:v>104683</c:v>
                </c:pt>
                <c:pt idx="12">
                  <c:v>13446</c:v>
                </c:pt>
                <c:pt idx="13">
                  <c:v>17245</c:v>
                </c:pt>
                <c:pt idx="14">
                  <c:v>228</c:v>
                </c:pt>
                <c:pt idx="15">
                  <c:v>8</c:v>
                </c:pt>
                <c:pt idx="16">
                  <c:v>202</c:v>
                </c:pt>
                <c:pt idx="17">
                  <c:v>194</c:v>
                </c:pt>
                <c:pt idx="18">
                  <c:v>1204</c:v>
                </c:pt>
                <c:pt idx="19">
                  <c:v>4</c:v>
                </c:pt>
                <c:pt idx="20">
                  <c:v>3808</c:v>
                </c:pt>
                <c:pt idx="21">
                  <c:v>2110</c:v>
                </c:pt>
                <c:pt idx="22">
                  <c:v>16</c:v>
                </c:pt>
                <c:pt idx="23">
                  <c:v>6</c:v>
                </c:pt>
                <c:pt idx="24">
                  <c:v>426</c:v>
                </c:pt>
                <c:pt idx="25">
                  <c:v>148</c:v>
                </c:pt>
                <c:pt idx="26">
                  <c:v>8</c:v>
                </c:pt>
                <c:pt idx="27">
                  <c:v>2972</c:v>
                </c:pt>
                <c:pt idx="28">
                  <c:v>1538</c:v>
                </c:pt>
                <c:pt idx="29">
                  <c:v>66</c:v>
                </c:pt>
                <c:pt idx="30">
                  <c:v>126</c:v>
                </c:pt>
                <c:pt idx="31">
                  <c:v>40</c:v>
                </c:pt>
                <c:pt idx="32">
                  <c:v>130</c:v>
                </c:pt>
                <c:pt idx="33">
                  <c:v>132</c:v>
                </c:pt>
                <c:pt idx="34">
                  <c:v>178</c:v>
                </c:pt>
                <c:pt idx="35">
                  <c:v>14</c:v>
                </c:pt>
                <c:pt idx="36">
                  <c:v>12</c:v>
                </c:pt>
                <c:pt idx="37">
                  <c:v>14</c:v>
                </c:pt>
                <c:pt idx="38">
                  <c:v>58</c:v>
                </c:pt>
                <c:pt idx="39">
                  <c:v>2</c:v>
                </c:pt>
                <c:pt idx="40">
                  <c:v>24</c:v>
                </c:pt>
                <c:pt idx="41">
                  <c:v>870</c:v>
                </c:pt>
                <c:pt idx="42">
                  <c:v>324</c:v>
                </c:pt>
                <c:pt idx="43">
                  <c:v>40</c:v>
                </c:pt>
                <c:pt idx="44">
                  <c:v>32</c:v>
                </c:pt>
                <c:pt idx="45">
                  <c:v>80</c:v>
                </c:pt>
                <c:pt idx="46">
                  <c:v>416</c:v>
                </c:pt>
                <c:pt idx="47">
                  <c:v>10</c:v>
                </c:pt>
                <c:pt idx="48">
                  <c:v>139</c:v>
                </c:pt>
                <c:pt idx="49">
                  <c:v>68</c:v>
                </c:pt>
                <c:pt idx="50">
                  <c:v>194</c:v>
                </c:pt>
                <c:pt idx="51">
                  <c:v>440</c:v>
                </c:pt>
                <c:pt idx="52">
                  <c:v>12</c:v>
                </c:pt>
                <c:pt idx="53">
                  <c:v>118</c:v>
                </c:pt>
                <c:pt idx="54">
                  <c:v>4</c:v>
                </c:pt>
                <c:pt idx="55">
                  <c:v>4</c:v>
                </c:pt>
                <c:pt idx="56">
                  <c:v>110</c:v>
                </c:pt>
                <c:pt idx="57">
                  <c:v>524</c:v>
                </c:pt>
                <c:pt idx="58">
                  <c:v>12</c:v>
                </c:pt>
                <c:pt idx="59">
                  <c:v>108</c:v>
                </c:pt>
                <c:pt idx="60">
                  <c:v>2</c:v>
                </c:pt>
                <c:pt idx="61">
                  <c:v>120</c:v>
                </c:pt>
                <c:pt idx="62">
                  <c:v>68</c:v>
                </c:pt>
                <c:pt idx="63">
                  <c:v>314</c:v>
                </c:pt>
                <c:pt idx="64">
                  <c:v>534</c:v>
                </c:pt>
              </c:numCache>
            </c:numRef>
          </c:val>
        </c:ser>
        <c:ser>
          <c:idx val="3"/>
          <c:order val="3"/>
          <c:tx>
            <c:strRef>
              <c:f>Distributions!$CG$20</c:f>
              <c:strCache>
                <c:ptCount val="1"/>
                <c:pt idx="0">
                  <c:v>贷款笔数占比</c:v>
                </c:pt>
              </c:strCache>
            </c:strRef>
          </c:tx>
          <c:spPr>
            <a:solidFill>
              <a:schemeClr val="accent4"/>
            </a:solidFill>
            <a:ln>
              <a:noFill/>
            </a:ln>
            <a:effectLst/>
          </c:spPr>
          <c:invertIfNegative val="0"/>
          <c:cat>
            <c:strRef>
              <c:f>Distributions!$CC$21:$CC$86</c:f>
              <c:strCache>
                <c:ptCount val="65"/>
                <c:pt idx="1">
                  <c:v>0211司局级以上干部</c:v>
                </c:pt>
                <c:pt idx="2">
                  <c:v>0311高级研究员/分析员</c:v>
                </c:pt>
                <c:pt idx="3">
                  <c:v>1.[国家党政机关、事业单位]</c:v>
                </c:pt>
                <c:pt idx="4">
                  <c:v>1.国家党政机关、事业单位</c:v>
                </c:pt>
                <c:pt idx="5">
                  <c:v>2.教育机构</c:v>
                </c:pt>
                <c:pt idx="6">
                  <c:v>3.医疗机构</c:v>
                </c:pt>
                <c:pt idx="7">
                  <c:v>4.金融业</c:v>
                </c:pt>
                <c:pt idx="8">
                  <c:v>5.[贸易、商业、事务所]</c:v>
                </c:pt>
                <c:pt idx="9">
                  <c:v>5.贸易、商业、事务所</c:v>
                </c:pt>
                <c:pt idx="10">
                  <c:v>6.[贸易、商业、事务所]</c:v>
                </c:pt>
                <c:pt idx="11">
                  <c:v>6.建筑、制造业</c:v>
                </c:pt>
                <c:pt idx="12">
                  <c:v>7.酒店、餐饮、娱乐</c:v>
                </c:pt>
                <c:pt idx="13">
                  <c:v>8.个体经营</c:v>
                </c:pt>
                <c:pt idx="14">
                  <c:v>9.其他</c:v>
                </c:pt>
                <c:pt idx="15">
                  <c:v>上市公司高级管理层</c:v>
                </c:pt>
                <c:pt idx="16">
                  <c:v>专业人士</c:v>
                </c:pt>
                <c:pt idx="17">
                  <c:v>专业技术工人</c:v>
                </c:pt>
                <c:pt idx="18">
                  <c:v>个体工商户</c:v>
                </c:pt>
                <c:pt idx="19">
                  <c:v>中级研究员、分析员</c:v>
                </c:pt>
                <c:pt idx="20">
                  <c:v>企业普通职员</c:v>
                </c:pt>
                <c:pt idx="21">
                  <c:v>企业管理人员</c:v>
                </c:pt>
                <c:pt idx="22">
                  <c:v>会计师</c:v>
                </c:pt>
                <c:pt idx="23">
                  <c:v>公检法机关人员</c:v>
                </c:pt>
                <c:pt idx="24">
                  <c:v>其他</c:v>
                </c:pt>
                <c:pt idx="25">
                  <c:v>其他专业人士</c:v>
                </c:pt>
                <c:pt idx="26">
                  <c:v>其他文体工作者</c:v>
                </c:pt>
                <c:pt idx="27">
                  <c:v>其他普通职员</c:v>
                </c:pt>
                <c:pt idx="28">
                  <c:v>其他管理人员</c:v>
                </c:pt>
                <c:pt idx="29">
                  <c:v>其他经济人员</c:v>
                </c:pt>
                <c:pt idx="30">
                  <c:v>军人、武警战士</c:v>
                </c:pt>
                <c:pt idx="31">
                  <c:v>农民</c:v>
                </c:pt>
                <c:pt idx="32">
                  <c:v>医生</c:v>
                </c:pt>
                <c:pt idx="33">
                  <c:v>医疗辅助人员</c:v>
                </c:pt>
                <c:pt idx="34">
                  <c:v>国家机关公务员、事业单位人员</c:v>
                </c:pt>
                <c:pt idx="35">
                  <c:v>国有企业高级管理层</c:v>
                </c:pt>
                <c:pt idx="36">
                  <c:v>处级以上干部</c:v>
                </c:pt>
                <c:pt idx="37">
                  <c:v>媒体工作者</c:v>
                </c:pt>
                <c:pt idx="38">
                  <c:v>学生</c:v>
                </c:pt>
                <c:pt idx="39">
                  <c:v>审计师</c:v>
                </c:pt>
                <c:pt idx="40">
                  <c:v>家庭主妇</c:v>
                </c:pt>
                <c:pt idx="41">
                  <c:v>小微企业主</c:v>
                </c:pt>
                <c:pt idx="42">
                  <c:v>工程师</c:v>
                </c:pt>
                <c:pt idx="43">
                  <c:v>待业、无业</c:v>
                </c:pt>
                <c:pt idx="44">
                  <c:v>律师</c:v>
                </c:pt>
                <c:pt idx="45">
                  <c:v>技术人员</c:v>
                </c:pt>
                <c:pt idx="46">
                  <c:v>教师</c:v>
                </c:pt>
                <c:pt idx="47">
                  <c:v>文体工作者</c:v>
                </c:pt>
                <c:pt idx="48">
                  <c:v>文化、教育</c:v>
                </c:pt>
                <c:pt idx="49">
                  <c:v>文员</c:v>
                </c:pt>
                <c:pt idx="50">
                  <c:v>普通公职人员</c:v>
                </c:pt>
                <c:pt idx="51">
                  <c:v>普通工人</c:v>
                </c:pt>
                <c:pt idx="52">
                  <c:v>普通研究员、分析员</c:v>
                </c:pt>
                <c:pt idx="53">
                  <c:v>服务人员</c:v>
                </c:pt>
                <c:pt idx="54">
                  <c:v>演艺人员</c:v>
                </c:pt>
                <c:pt idx="55">
                  <c:v>煤炭、钢铁</c:v>
                </c:pt>
                <c:pt idx="56">
                  <c:v>离退休人员</c:v>
                </c:pt>
                <c:pt idx="57">
                  <c:v>私营企业管理人员</c:v>
                </c:pt>
                <c:pt idx="58">
                  <c:v>科技人员</c:v>
                </c:pt>
                <c:pt idx="59">
                  <c:v>经济人员</c:v>
                </c:pt>
                <c:pt idx="60">
                  <c:v>翻译</c:v>
                </c:pt>
                <c:pt idx="61">
                  <c:v>自由职业者</c:v>
                </c:pt>
                <c:pt idx="62">
                  <c:v>设计师</c:v>
                </c:pt>
                <c:pt idx="63">
                  <c:v>财务人员</c:v>
                </c:pt>
                <c:pt idx="64">
                  <c:v>销售人员</c:v>
                </c:pt>
              </c:strCache>
            </c:strRef>
          </c:cat>
          <c:val>
            <c:numRef>
              <c:f>Distributions!$CG$21:$CG$86</c:f>
              <c:numCache>
                <c:formatCode>0.00%</c:formatCode>
                <c:ptCount val="65"/>
                <c:pt idx="0">
                  <c:v>2.8560616338100576E-5</c:v>
                </c:pt>
                <c:pt idx="1">
                  <c:v>7.1401540845251441E-6</c:v>
                </c:pt>
                <c:pt idx="2">
                  <c:v>7.1401540845251441E-6</c:v>
                </c:pt>
                <c:pt idx="3">
                  <c:v>2.8560616338100576E-5</c:v>
                </c:pt>
                <c:pt idx="4">
                  <c:v>0.10598844723069124</c:v>
                </c:pt>
                <c:pt idx="5">
                  <c:v>5.2854990610697379E-2</c:v>
                </c:pt>
                <c:pt idx="6">
                  <c:v>2.672202666133535E-2</c:v>
                </c:pt>
                <c:pt idx="7">
                  <c:v>4.7478454585049942E-2</c:v>
                </c:pt>
                <c:pt idx="8">
                  <c:v>1.4280308169050288E-5</c:v>
                </c:pt>
                <c:pt idx="9">
                  <c:v>0.21855297637323012</c:v>
                </c:pt>
                <c:pt idx="10">
                  <c:v>7.1401540845251441E-6</c:v>
                </c:pt>
                <c:pt idx="11">
                  <c:v>0.37372637501517281</c:v>
                </c:pt>
                <c:pt idx="12">
                  <c:v>4.8003255910262541E-2</c:v>
                </c:pt>
                <c:pt idx="13">
                  <c:v>6.1565978593818058E-2</c:v>
                </c:pt>
                <c:pt idx="14">
                  <c:v>8.139775656358664E-4</c:v>
                </c:pt>
                <c:pt idx="15">
                  <c:v>2.8560616338100576E-5</c:v>
                </c:pt>
                <c:pt idx="16">
                  <c:v>7.2115556253703954E-4</c:v>
                </c:pt>
                <c:pt idx="17">
                  <c:v>6.9259494619893901E-4</c:v>
                </c:pt>
                <c:pt idx="18">
                  <c:v>4.2983727588841369E-3</c:v>
                </c:pt>
                <c:pt idx="19">
                  <c:v>1.4280308169050288E-5</c:v>
                </c:pt>
                <c:pt idx="20">
                  <c:v>1.3594853376935874E-2</c:v>
                </c:pt>
                <c:pt idx="21">
                  <c:v>7.5328625591740269E-3</c:v>
                </c:pt>
                <c:pt idx="22">
                  <c:v>5.7121232676201152E-5</c:v>
                </c:pt>
                <c:pt idx="23">
                  <c:v>2.1420462253575432E-5</c:v>
                </c:pt>
                <c:pt idx="24">
                  <c:v>1.5208528200038557E-3</c:v>
                </c:pt>
                <c:pt idx="25">
                  <c:v>5.2837140225486063E-4</c:v>
                </c:pt>
                <c:pt idx="26">
                  <c:v>2.8560616338100576E-5</c:v>
                </c:pt>
                <c:pt idx="27">
                  <c:v>1.0610268969604365E-2</c:v>
                </c:pt>
                <c:pt idx="28">
                  <c:v>5.4907784909998354E-3</c:v>
                </c:pt>
                <c:pt idx="29">
                  <c:v>2.3562508478932974E-4</c:v>
                </c:pt>
                <c:pt idx="30">
                  <c:v>4.4982970732508409E-4</c:v>
                </c:pt>
                <c:pt idx="31">
                  <c:v>1.4280308169050288E-4</c:v>
                </c:pt>
                <c:pt idx="32">
                  <c:v>4.6411001549413435E-4</c:v>
                </c:pt>
                <c:pt idx="33">
                  <c:v>4.7125016957865948E-4</c:v>
                </c:pt>
                <c:pt idx="34">
                  <c:v>6.3547371352273786E-4</c:v>
                </c:pt>
                <c:pt idx="35">
                  <c:v>4.9981078591676008E-5</c:v>
                </c:pt>
                <c:pt idx="36">
                  <c:v>4.2840924507150864E-5</c:v>
                </c:pt>
                <c:pt idx="37">
                  <c:v>4.9981078591676008E-5</c:v>
                </c:pt>
                <c:pt idx="38">
                  <c:v>2.0706446845122916E-4</c:v>
                </c:pt>
                <c:pt idx="39">
                  <c:v>7.1401540845251441E-6</c:v>
                </c:pt>
                <c:pt idx="40">
                  <c:v>8.5681849014301729E-5</c:v>
                </c:pt>
                <c:pt idx="41">
                  <c:v>3.1059670267684376E-3</c:v>
                </c:pt>
                <c:pt idx="42">
                  <c:v>1.1567049616930734E-3</c:v>
                </c:pt>
                <c:pt idx="43">
                  <c:v>1.4280308169050288E-4</c:v>
                </c:pt>
                <c:pt idx="44">
                  <c:v>1.142424653524023E-4</c:v>
                </c:pt>
                <c:pt idx="45">
                  <c:v>2.8560616338100576E-4</c:v>
                </c:pt>
                <c:pt idx="46">
                  <c:v>1.48515204958123E-3</c:v>
                </c:pt>
                <c:pt idx="47">
                  <c:v>3.570077042262572E-5</c:v>
                </c:pt>
                <c:pt idx="48">
                  <c:v>4.9624070887449752E-4</c:v>
                </c:pt>
                <c:pt idx="49">
                  <c:v>2.427652388738549E-4</c:v>
                </c:pt>
                <c:pt idx="50">
                  <c:v>6.9259494619893901E-4</c:v>
                </c:pt>
                <c:pt idx="51">
                  <c:v>1.5708338985955317E-3</c:v>
                </c:pt>
                <c:pt idx="52">
                  <c:v>4.2840924507150864E-5</c:v>
                </c:pt>
                <c:pt idx="53">
                  <c:v>4.2126909098698351E-4</c:v>
                </c:pt>
                <c:pt idx="54">
                  <c:v>1.4280308169050288E-5</c:v>
                </c:pt>
                <c:pt idx="55">
                  <c:v>1.4280308169050288E-5</c:v>
                </c:pt>
                <c:pt idx="56">
                  <c:v>3.9270847464888294E-4</c:v>
                </c:pt>
                <c:pt idx="57">
                  <c:v>1.8707203701455878E-3</c:v>
                </c:pt>
                <c:pt idx="58">
                  <c:v>4.2840924507150864E-5</c:v>
                </c:pt>
                <c:pt idx="59">
                  <c:v>3.8556832056435775E-4</c:v>
                </c:pt>
                <c:pt idx="60">
                  <c:v>7.1401540845251441E-6</c:v>
                </c:pt>
                <c:pt idx="61">
                  <c:v>4.2840924507150864E-4</c:v>
                </c:pt>
                <c:pt idx="62">
                  <c:v>2.427652388738549E-4</c:v>
                </c:pt>
                <c:pt idx="63">
                  <c:v>1.1210041912704477E-3</c:v>
                </c:pt>
                <c:pt idx="64">
                  <c:v>1.9064211405682135E-3</c:v>
                </c:pt>
              </c:numCache>
            </c:numRef>
          </c:val>
        </c:ser>
        <c:ser>
          <c:idx val="4"/>
          <c:order val="4"/>
          <c:tx>
            <c:strRef>
              <c:f>Distributions!$CH$20</c:f>
              <c:strCache>
                <c:ptCount val="1"/>
                <c:pt idx="0">
                  <c:v>合同金额</c:v>
                </c:pt>
              </c:strCache>
            </c:strRef>
          </c:tx>
          <c:spPr>
            <a:solidFill>
              <a:schemeClr val="accent5"/>
            </a:solidFill>
            <a:ln>
              <a:noFill/>
            </a:ln>
            <a:effectLst/>
          </c:spPr>
          <c:invertIfNegative val="0"/>
          <c:cat>
            <c:strRef>
              <c:f>Distributions!$CC$21:$CC$86</c:f>
              <c:strCache>
                <c:ptCount val="65"/>
                <c:pt idx="1">
                  <c:v>0211司局级以上干部</c:v>
                </c:pt>
                <c:pt idx="2">
                  <c:v>0311高级研究员/分析员</c:v>
                </c:pt>
                <c:pt idx="3">
                  <c:v>1.[国家党政机关、事业单位]</c:v>
                </c:pt>
                <c:pt idx="4">
                  <c:v>1.国家党政机关、事业单位</c:v>
                </c:pt>
                <c:pt idx="5">
                  <c:v>2.教育机构</c:v>
                </c:pt>
                <c:pt idx="6">
                  <c:v>3.医疗机构</c:v>
                </c:pt>
                <c:pt idx="7">
                  <c:v>4.金融业</c:v>
                </c:pt>
                <c:pt idx="8">
                  <c:v>5.[贸易、商业、事务所]</c:v>
                </c:pt>
                <c:pt idx="9">
                  <c:v>5.贸易、商业、事务所</c:v>
                </c:pt>
                <c:pt idx="10">
                  <c:v>6.[贸易、商业、事务所]</c:v>
                </c:pt>
                <c:pt idx="11">
                  <c:v>6.建筑、制造业</c:v>
                </c:pt>
                <c:pt idx="12">
                  <c:v>7.酒店、餐饮、娱乐</c:v>
                </c:pt>
                <c:pt idx="13">
                  <c:v>8.个体经营</c:v>
                </c:pt>
                <c:pt idx="14">
                  <c:v>9.其他</c:v>
                </c:pt>
                <c:pt idx="15">
                  <c:v>上市公司高级管理层</c:v>
                </c:pt>
                <c:pt idx="16">
                  <c:v>专业人士</c:v>
                </c:pt>
                <c:pt idx="17">
                  <c:v>专业技术工人</c:v>
                </c:pt>
                <c:pt idx="18">
                  <c:v>个体工商户</c:v>
                </c:pt>
                <c:pt idx="19">
                  <c:v>中级研究员、分析员</c:v>
                </c:pt>
                <c:pt idx="20">
                  <c:v>企业普通职员</c:v>
                </c:pt>
                <c:pt idx="21">
                  <c:v>企业管理人员</c:v>
                </c:pt>
                <c:pt idx="22">
                  <c:v>会计师</c:v>
                </c:pt>
                <c:pt idx="23">
                  <c:v>公检法机关人员</c:v>
                </c:pt>
                <c:pt idx="24">
                  <c:v>其他</c:v>
                </c:pt>
                <c:pt idx="25">
                  <c:v>其他专业人士</c:v>
                </c:pt>
                <c:pt idx="26">
                  <c:v>其他文体工作者</c:v>
                </c:pt>
                <c:pt idx="27">
                  <c:v>其他普通职员</c:v>
                </c:pt>
                <c:pt idx="28">
                  <c:v>其他管理人员</c:v>
                </c:pt>
                <c:pt idx="29">
                  <c:v>其他经济人员</c:v>
                </c:pt>
                <c:pt idx="30">
                  <c:v>军人、武警战士</c:v>
                </c:pt>
                <c:pt idx="31">
                  <c:v>农民</c:v>
                </c:pt>
                <c:pt idx="32">
                  <c:v>医生</c:v>
                </c:pt>
                <c:pt idx="33">
                  <c:v>医疗辅助人员</c:v>
                </c:pt>
                <c:pt idx="34">
                  <c:v>国家机关公务员、事业单位人员</c:v>
                </c:pt>
                <c:pt idx="35">
                  <c:v>国有企业高级管理层</c:v>
                </c:pt>
                <c:pt idx="36">
                  <c:v>处级以上干部</c:v>
                </c:pt>
                <c:pt idx="37">
                  <c:v>媒体工作者</c:v>
                </c:pt>
                <c:pt idx="38">
                  <c:v>学生</c:v>
                </c:pt>
                <c:pt idx="39">
                  <c:v>审计师</c:v>
                </c:pt>
                <c:pt idx="40">
                  <c:v>家庭主妇</c:v>
                </c:pt>
                <c:pt idx="41">
                  <c:v>小微企业主</c:v>
                </c:pt>
                <c:pt idx="42">
                  <c:v>工程师</c:v>
                </c:pt>
                <c:pt idx="43">
                  <c:v>待业、无业</c:v>
                </c:pt>
                <c:pt idx="44">
                  <c:v>律师</c:v>
                </c:pt>
                <c:pt idx="45">
                  <c:v>技术人员</c:v>
                </c:pt>
                <c:pt idx="46">
                  <c:v>教师</c:v>
                </c:pt>
                <c:pt idx="47">
                  <c:v>文体工作者</c:v>
                </c:pt>
                <c:pt idx="48">
                  <c:v>文化、教育</c:v>
                </c:pt>
                <c:pt idx="49">
                  <c:v>文员</c:v>
                </c:pt>
                <c:pt idx="50">
                  <c:v>普通公职人员</c:v>
                </c:pt>
                <c:pt idx="51">
                  <c:v>普通工人</c:v>
                </c:pt>
                <c:pt idx="52">
                  <c:v>普通研究员、分析员</c:v>
                </c:pt>
                <c:pt idx="53">
                  <c:v>服务人员</c:v>
                </c:pt>
                <c:pt idx="54">
                  <c:v>演艺人员</c:v>
                </c:pt>
                <c:pt idx="55">
                  <c:v>煤炭、钢铁</c:v>
                </c:pt>
                <c:pt idx="56">
                  <c:v>离退休人员</c:v>
                </c:pt>
                <c:pt idx="57">
                  <c:v>私营企业管理人员</c:v>
                </c:pt>
                <c:pt idx="58">
                  <c:v>科技人员</c:v>
                </c:pt>
                <c:pt idx="59">
                  <c:v>经济人员</c:v>
                </c:pt>
                <c:pt idx="60">
                  <c:v>翻译</c:v>
                </c:pt>
                <c:pt idx="61">
                  <c:v>自由职业者</c:v>
                </c:pt>
                <c:pt idx="62">
                  <c:v>设计师</c:v>
                </c:pt>
                <c:pt idx="63">
                  <c:v>财务人员</c:v>
                </c:pt>
                <c:pt idx="64">
                  <c:v>销售人员</c:v>
                </c:pt>
              </c:strCache>
            </c:strRef>
          </c:cat>
          <c:val>
            <c:numRef>
              <c:f>Distributions!$CH$21:$CH$86</c:f>
              <c:numCache>
                <c:formatCode>"¥"#,##0.00</c:formatCode>
                <c:ptCount val="65"/>
                <c:pt idx="0">
                  <c:v>5220000</c:v>
                </c:pt>
                <c:pt idx="1">
                  <c:v>580000</c:v>
                </c:pt>
                <c:pt idx="2">
                  <c:v>600000</c:v>
                </c:pt>
                <c:pt idx="3">
                  <c:v>1116000</c:v>
                </c:pt>
                <c:pt idx="4">
                  <c:v>3423552453</c:v>
                </c:pt>
                <c:pt idx="5">
                  <c:v>1658367174</c:v>
                </c:pt>
                <c:pt idx="6">
                  <c:v>815443734</c:v>
                </c:pt>
                <c:pt idx="7">
                  <c:v>1629361473</c:v>
                </c:pt>
                <c:pt idx="8">
                  <c:v>980000</c:v>
                </c:pt>
                <c:pt idx="9">
                  <c:v>6928741935</c:v>
                </c:pt>
                <c:pt idx="10">
                  <c:v>480200</c:v>
                </c:pt>
                <c:pt idx="11">
                  <c:v>11648858595</c:v>
                </c:pt>
                <c:pt idx="12">
                  <c:v>1549823052</c:v>
                </c:pt>
                <c:pt idx="13">
                  <c:v>2397394185</c:v>
                </c:pt>
                <c:pt idx="14">
                  <c:v>31597800</c:v>
                </c:pt>
                <c:pt idx="15">
                  <c:v>4120000</c:v>
                </c:pt>
                <c:pt idx="16">
                  <c:v>62348000</c:v>
                </c:pt>
                <c:pt idx="17">
                  <c:v>45794000</c:v>
                </c:pt>
                <c:pt idx="18">
                  <c:v>572722000</c:v>
                </c:pt>
                <c:pt idx="19">
                  <c:v>3452000</c:v>
                </c:pt>
                <c:pt idx="20">
                  <c:v>1600253000</c:v>
                </c:pt>
                <c:pt idx="21">
                  <c:v>1347855038</c:v>
                </c:pt>
                <c:pt idx="22">
                  <c:v>4300000</c:v>
                </c:pt>
                <c:pt idx="23">
                  <c:v>1820000</c:v>
                </c:pt>
                <c:pt idx="24">
                  <c:v>222784000</c:v>
                </c:pt>
                <c:pt idx="25">
                  <c:v>61318000</c:v>
                </c:pt>
                <c:pt idx="26">
                  <c:v>4640000</c:v>
                </c:pt>
                <c:pt idx="27">
                  <c:v>1101189600</c:v>
                </c:pt>
                <c:pt idx="28">
                  <c:v>778532000</c:v>
                </c:pt>
                <c:pt idx="29">
                  <c:v>28846000</c:v>
                </c:pt>
                <c:pt idx="30">
                  <c:v>34284000</c:v>
                </c:pt>
                <c:pt idx="31">
                  <c:v>15972000</c:v>
                </c:pt>
                <c:pt idx="32">
                  <c:v>50342000</c:v>
                </c:pt>
                <c:pt idx="33">
                  <c:v>38316000</c:v>
                </c:pt>
                <c:pt idx="34">
                  <c:v>65202000</c:v>
                </c:pt>
                <c:pt idx="35">
                  <c:v>6000000</c:v>
                </c:pt>
                <c:pt idx="36">
                  <c:v>3600000</c:v>
                </c:pt>
                <c:pt idx="37">
                  <c:v>5768000</c:v>
                </c:pt>
                <c:pt idx="38">
                  <c:v>60992000</c:v>
                </c:pt>
                <c:pt idx="39">
                  <c:v>600000</c:v>
                </c:pt>
                <c:pt idx="40">
                  <c:v>19540000</c:v>
                </c:pt>
                <c:pt idx="41">
                  <c:v>676374000</c:v>
                </c:pt>
                <c:pt idx="42">
                  <c:v>126006000</c:v>
                </c:pt>
                <c:pt idx="43">
                  <c:v>22916000</c:v>
                </c:pt>
                <c:pt idx="44">
                  <c:v>19994000</c:v>
                </c:pt>
                <c:pt idx="45">
                  <c:v>32424000</c:v>
                </c:pt>
                <c:pt idx="46">
                  <c:v>150510000</c:v>
                </c:pt>
                <c:pt idx="47">
                  <c:v>2520000</c:v>
                </c:pt>
                <c:pt idx="48">
                  <c:v>4061000000</c:v>
                </c:pt>
                <c:pt idx="49">
                  <c:v>38896000</c:v>
                </c:pt>
                <c:pt idx="50">
                  <c:v>55732000</c:v>
                </c:pt>
                <c:pt idx="51">
                  <c:v>105870000</c:v>
                </c:pt>
                <c:pt idx="52">
                  <c:v>4926000</c:v>
                </c:pt>
                <c:pt idx="53">
                  <c:v>31067200</c:v>
                </c:pt>
                <c:pt idx="54">
                  <c:v>1900000</c:v>
                </c:pt>
                <c:pt idx="55">
                  <c:v>140000000</c:v>
                </c:pt>
                <c:pt idx="56">
                  <c:v>45464000</c:v>
                </c:pt>
                <c:pt idx="57">
                  <c:v>372226000</c:v>
                </c:pt>
                <c:pt idx="58">
                  <c:v>3700000</c:v>
                </c:pt>
                <c:pt idx="59">
                  <c:v>40854000</c:v>
                </c:pt>
                <c:pt idx="60">
                  <c:v>520000</c:v>
                </c:pt>
                <c:pt idx="61">
                  <c:v>65144000</c:v>
                </c:pt>
                <c:pt idx="62">
                  <c:v>27542000</c:v>
                </c:pt>
                <c:pt idx="63">
                  <c:v>160802000</c:v>
                </c:pt>
                <c:pt idx="64">
                  <c:v>180396000</c:v>
                </c:pt>
              </c:numCache>
            </c:numRef>
          </c:val>
        </c:ser>
        <c:ser>
          <c:idx val="5"/>
          <c:order val="5"/>
          <c:tx>
            <c:strRef>
              <c:f>Distributions!$CI$20</c:f>
              <c:strCache>
                <c:ptCount val="1"/>
                <c:pt idx="0">
                  <c:v>合同金额占比</c:v>
                </c:pt>
              </c:strCache>
            </c:strRef>
          </c:tx>
          <c:spPr>
            <a:solidFill>
              <a:schemeClr val="accent6"/>
            </a:solidFill>
            <a:ln>
              <a:noFill/>
            </a:ln>
            <a:effectLst/>
          </c:spPr>
          <c:invertIfNegative val="0"/>
          <c:cat>
            <c:strRef>
              <c:f>Distributions!$CC$21:$CC$86</c:f>
              <c:strCache>
                <c:ptCount val="65"/>
                <c:pt idx="1">
                  <c:v>0211司局级以上干部</c:v>
                </c:pt>
                <c:pt idx="2">
                  <c:v>0311高级研究员/分析员</c:v>
                </c:pt>
                <c:pt idx="3">
                  <c:v>1.[国家党政机关、事业单位]</c:v>
                </c:pt>
                <c:pt idx="4">
                  <c:v>1.国家党政机关、事业单位</c:v>
                </c:pt>
                <c:pt idx="5">
                  <c:v>2.教育机构</c:v>
                </c:pt>
                <c:pt idx="6">
                  <c:v>3.医疗机构</c:v>
                </c:pt>
                <c:pt idx="7">
                  <c:v>4.金融业</c:v>
                </c:pt>
                <c:pt idx="8">
                  <c:v>5.[贸易、商业、事务所]</c:v>
                </c:pt>
                <c:pt idx="9">
                  <c:v>5.贸易、商业、事务所</c:v>
                </c:pt>
                <c:pt idx="10">
                  <c:v>6.[贸易、商业、事务所]</c:v>
                </c:pt>
                <c:pt idx="11">
                  <c:v>6.建筑、制造业</c:v>
                </c:pt>
                <c:pt idx="12">
                  <c:v>7.酒店、餐饮、娱乐</c:v>
                </c:pt>
                <c:pt idx="13">
                  <c:v>8.个体经营</c:v>
                </c:pt>
                <c:pt idx="14">
                  <c:v>9.其他</c:v>
                </c:pt>
                <c:pt idx="15">
                  <c:v>上市公司高级管理层</c:v>
                </c:pt>
                <c:pt idx="16">
                  <c:v>专业人士</c:v>
                </c:pt>
                <c:pt idx="17">
                  <c:v>专业技术工人</c:v>
                </c:pt>
                <c:pt idx="18">
                  <c:v>个体工商户</c:v>
                </c:pt>
                <c:pt idx="19">
                  <c:v>中级研究员、分析员</c:v>
                </c:pt>
                <c:pt idx="20">
                  <c:v>企业普通职员</c:v>
                </c:pt>
                <c:pt idx="21">
                  <c:v>企业管理人员</c:v>
                </c:pt>
                <c:pt idx="22">
                  <c:v>会计师</c:v>
                </c:pt>
                <c:pt idx="23">
                  <c:v>公检法机关人员</c:v>
                </c:pt>
                <c:pt idx="24">
                  <c:v>其他</c:v>
                </c:pt>
                <c:pt idx="25">
                  <c:v>其他专业人士</c:v>
                </c:pt>
                <c:pt idx="26">
                  <c:v>其他文体工作者</c:v>
                </c:pt>
                <c:pt idx="27">
                  <c:v>其他普通职员</c:v>
                </c:pt>
                <c:pt idx="28">
                  <c:v>其他管理人员</c:v>
                </c:pt>
                <c:pt idx="29">
                  <c:v>其他经济人员</c:v>
                </c:pt>
                <c:pt idx="30">
                  <c:v>军人、武警战士</c:v>
                </c:pt>
                <c:pt idx="31">
                  <c:v>农民</c:v>
                </c:pt>
                <c:pt idx="32">
                  <c:v>医生</c:v>
                </c:pt>
                <c:pt idx="33">
                  <c:v>医疗辅助人员</c:v>
                </c:pt>
                <c:pt idx="34">
                  <c:v>国家机关公务员、事业单位人员</c:v>
                </c:pt>
                <c:pt idx="35">
                  <c:v>国有企业高级管理层</c:v>
                </c:pt>
                <c:pt idx="36">
                  <c:v>处级以上干部</c:v>
                </c:pt>
                <c:pt idx="37">
                  <c:v>媒体工作者</c:v>
                </c:pt>
                <c:pt idx="38">
                  <c:v>学生</c:v>
                </c:pt>
                <c:pt idx="39">
                  <c:v>审计师</c:v>
                </c:pt>
                <c:pt idx="40">
                  <c:v>家庭主妇</c:v>
                </c:pt>
                <c:pt idx="41">
                  <c:v>小微企业主</c:v>
                </c:pt>
                <c:pt idx="42">
                  <c:v>工程师</c:v>
                </c:pt>
                <c:pt idx="43">
                  <c:v>待业、无业</c:v>
                </c:pt>
                <c:pt idx="44">
                  <c:v>律师</c:v>
                </c:pt>
                <c:pt idx="45">
                  <c:v>技术人员</c:v>
                </c:pt>
                <c:pt idx="46">
                  <c:v>教师</c:v>
                </c:pt>
                <c:pt idx="47">
                  <c:v>文体工作者</c:v>
                </c:pt>
                <c:pt idx="48">
                  <c:v>文化、教育</c:v>
                </c:pt>
                <c:pt idx="49">
                  <c:v>文员</c:v>
                </c:pt>
                <c:pt idx="50">
                  <c:v>普通公职人员</c:v>
                </c:pt>
                <c:pt idx="51">
                  <c:v>普通工人</c:v>
                </c:pt>
                <c:pt idx="52">
                  <c:v>普通研究员、分析员</c:v>
                </c:pt>
                <c:pt idx="53">
                  <c:v>服务人员</c:v>
                </c:pt>
                <c:pt idx="54">
                  <c:v>演艺人员</c:v>
                </c:pt>
                <c:pt idx="55">
                  <c:v>煤炭、钢铁</c:v>
                </c:pt>
                <c:pt idx="56">
                  <c:v>离退休人员</c:v>
                </c:pt>
                <c:pt idx="57">
                  <c:v>私营企业管理人员</c:v>
                </c:pt>
                <c:pt idx="58">
                  <c:v>科技人员</c:v>
                </c:pt>
                <c:pt idx="59">
                  <c:v>经济人员</c:v>
                </c:pt>
                <c:pt idx="60">
                  <c:v>翻译</c:v>
                </c:pt>
                <c:pt idx="61">
                  <c:v>自由职业者</c:v>
                </c:pt>
                <c:pt idx="62">
                  <c:v>设计师</c:v>
                </c:pt>
                <c:pt idx="63">
                  <c:v>财务人员</c:v>
                </c:pt>
                <c:pt idx="64">
                  <c:v>销售人员</c:v>
                </c:pt>
              </c:strCache>
            </c:strRef>
          </c:cat>
          <c:val>
            <c:numRef>
              <c:f>Distributions!$CI$21:$CI$86</c:f>
              <c:numCache>
                <c:formatCode>0.00%</c:formatCode>
                <c:ptCount val="65"/>
                <c:pt idx="0">
                  <c:v>1.2253667986971388E-4</c:v>
                </c:pt>
                <c:pt idx="1">
                  <c:v>1.3615186652190431E-5</c:v>
                </c:pt>
                <c:pt idx="2">
                  <c:v>1.4084675847093548E-5</c:v>
                </c:pt>
                <c:pt idx="3">
                  <c:v>2.6197497075594E-5</c:v>
                </c:pt>
                <c:pt idx="4">
                  <c:v>8.0366044243378287E-2</c:v>
                </c:pt>
                <c:pt idx="5">
                  <c:v>3.8929273468750976E-2</c:v>
                </c:pt>
                <c:pt idx="6">
                  <c:v>1.9142101108222627E-2</c:v>
                </c:pt>
                <c:pt idx="7">
                  <c:v>3.8248380308246448E-2</c:v>
                </c:pt>
                <c:pt idx="8">
                  <c:v>2.3004970550252795E-5</c:v>
                </c:pt>
                <c:pt idx="9">
                  <c:v>0.16264847363773119</c:v>
                </c:pt>
                <c:pt idx="10">
                  <c:v>1.127243556962387E-5</c:v>
                </c:pt>
                <c:pt idx="11">
                  <c:v>0.27345066216534097</c:v>
                </c:pt>
                <c:pt idx="12">
                  <c:v>3.6381258846288685E-2</c:v>
                </c:pt>
                <c:pt idx="13">
                  <c:v>5.6277533289053369E-2</c:v>
                </c:pt>
                <c:pt idx="14">
                  <c:v>7.4174128413548757E-4</c:v>
                </c:pt>
                <c:pt idx="15">
                  <c:v>9.6714774150042366E-5</c:v>
                </c:pt>
                <c:pt idx="16">
                  <c:v>1.4635856161909809E-3</c:v>
                </c:pt>
                <c:pt idx="17">
                  <c:v>1.07498940956967E-3</c:v>
                </c:pt>
                <c:pt idx="18">
                  <c:v>1.3444339534165186E-2</c:v>
                </c:pt>
                <c:pt idx="19">
                  <c:v>8.1033835040278211E-5</c:v>
                </c:pt>
                <c:pt idx="20">
                  <c:v>3.7565074630564986E-2</c:v>
                </c:pt>
                <c:pt idx="21">
                  <c:v>3.1640168831836596E-2</c:v>
                </c:pt>
                <c:pt idx="22">
                  <c:v>1.0094017690417044E-4</c:v>
                </c:pt>
                <c:pt idx="23">
                  <c:v>4.2723516736183767E-5</c:v>
                </c:pt>
                <c:pt idx="24">
                  <c:v>5.2297340398648152E-3</c:v>
                </c:pt>
                <c:pt idx="25">
                  <c:v>1.4394069226534704E-3</c:v>
                </c:pt>
                <c:pt idx="26">
                  <c:v>1.0892149321752345E-4</c:v>
                </c:pt>
                <c:pt idx="27">
                  <c:v>2.5849830936984342E-2</c:v>
                </c:pt>
                <c:pt idx="28">
                  <c:v>1.8275618094315726E-2</c:v>
                </c:pt>
                <c:pt idx="29">
                  <c:v>6.7714426580876754E-4</c:v>
                </c:pt>
                <c:pt idx="30">
                  <c:v>8.0479837790292533E-4</c:v>
                </c:pt>
                <c:pt idx="31">
                  <c:v>3.7493407104963026E-4</c:v>
                </c:pt>
                <c:pt idx="32">
                  <c:v>1.1817512524906391E-3</c:v>
                </c:pt>
                <c:pt idx="33">
                  <c:v>8.9944739959539404E-4</c:v>
                </c:pt>
                <c:pt idx="34">
                  <c:v>1.5305817243036559E-3</c:v>
                </c:pt>
                <c:pt idx="35">
                  <c:v>1.408467584709355E-4</c:v>
                </c:pt>
                <c:pt idx="36">
                  <c:v>8.4508055082561286E-5</c:v>
                </c:pt>
                <c:pt idx="37">
                  <c:v>1.3540068381005931E-4</c:v>
                </c:pt>
                <c:pt idx="38">
                  <c:v>1.4317542487765494E-3</c:v>
                </c:pt>
                <c:pt idx="39">
                  <c:v>1.4084675847093548E-5</c:v>
                </c:pt>
                <c:pt idx="40">
                  <c:v>4.5869094342034655E-4</c:v>
                </c:pt>
                <c:pt idx="41">
                  <c:v>1.5877514235670086E-2</c:v>
                </c:pt>
                <c:pt idx="42">
                  <c:v>2.957922774648116E-3</c:v>
                </c:pt>
                <c:pt idx="43">
                  <c:v>5.3794071951999295E-4</c:v>
                </c:pt>
                <c:pt idx="44">
                  <c:v>4.6934834814464735E-4</c:v>
                </c:pt>
                <c:pt idx="45">
                  <c:v>7.6113588277693534E-4</c:v>
                </c:pt>
                <c:pt idx="46">
                  <c:v>3.5331409362434167E-3</c:v>
                </c:pt>
                <c:pt idx="47">
                  <c:v>5.9155638557792904E-5</c:v>
                </c:pt>
                <c:pt idx="48">
                  <c:v>9.5329781025078164E-2</c:v>
                </c:pt>
                <c:pt idx="49">
                  <c:v>9.1306258624758441E-4</c:v>
                </c:pt>
                <c:pt idx="50">
                  <c:v>1.3082785905170293E-3</c:v>
                </c:pt>
                <c:pt idx="51">
                  <c:v>2.4852410532196566E-3</c:v>
                </c:pt>
                <c:pt idx="52">
                  <c:v>1.1563518870463803E-4</c:v>
                </c:pt>
                <c:pt idx="53">
                  <c:v>7.292857357947078E-4</c:v>
                </c:pt>
                <c:pt idx="54">
                  <c:v>4.4601473515796237E-5</c:v>
                </c:pt>
                <c:pt idx="55">
                  <c:v>3.2864243643218279E-3</c:v>
                </c:pt>
                <c:pt idx="56">
                  <c:v>1.0672428378537685E-3</c:v>
                </c:pt>
                <c:pt idx="57">
                  <c:v>8.7378042531004053E-3</c:v>
                </c:pt>
                <c:pt idx="58">
                  <c:v>8.6855501057076886E-5</c:v>
                </c:pt>
                <c:pt idx="59">
                  <c:v>9.5902557842859968E-4</c:v>
                </c:pt>
                <c:pt idx="60">
                  <c:v>1.2206719067481075E-5</c:v>
                </c:pt>
                <c:pt idx="61">
                  <c:v>1.5292202056384368E-3</c:v>
                </c:pt>
                <c:pt idx="62">
                  <c:v>6.4653357030108416E-4</c:v>
                </c:pt>
                <c:pt idx="63">
                  <c:v>3.7747400759405615E-3</c:v>
                </c:pt>
                <c:pt idx="64">
                  <c:v>4.2346986401871466E-3</c:v>
                </c:pt>
              </c:numCache>
            </c:numRef>
          </c:val>
        </c:ser>
        <c:dLbls>
          <c:showLegendKey val="0"/>
          <c:showVal val="0"/>
          <c:showCatName val="0"/>
          <c:showSerName val="0"/>
          <c:showPercent val="0"/>
          <c:showBubbleSize val="0"/>
        </c:dLbls>
        <c:gapWidth val="219"/>
        <c:overlap val="-27"/>
        <c:axId val="247892448"/>
        <c:axId val="247884832"/>
      </c:barChart>
      <c:catAx>
        <c:axId val="24789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84832"/>
        <c:crosses val="autoZero"/>
        <c:auto val="1"/>
        <c:lblAlgn val="ctr"/>
        <c:lblOffset val="100"/>
        <c:noMultiLvlLbl val="0"/>
      </c:catAx>
      <c:valAx>
        <c:axId val="2478848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92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[资产池日统计报表.xlsm]Distributions!ptDistAnnualIncome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s>
    <c:plotArea>
      <c:layout/>
      <c:barChart>
        <c:barDir val="col"/>
        <c:grouping val="clustered"/>
        <c:varyColors val="0"/>
        <c:ser>
          <c:idx val="0"/>
          <c:order val="0"/>
          <c:tx>
            <c:strRef>
              <c:f>Distributions!$CT$20</c:f>
              <c:strCache>
                <c:ptCount val="1"/>
                <c:pt idx="0">
                  <c:v>本金余额</c:v>
                </c:pt>
              </c:strCache>
            </c:strRef>
          </c:tx>
          <c:spPr>
            <a:solidFill>
              <a:schemeClr val="accent1"/>
            </a:solidFill>
            <a:ln>
              <a:noFill/>
            </a:ln>
            <a:effectLst/>
          </c:spPr>
          <c:invertIfNegative val="0"/>
          <c:cat>
            <c:strRef>
              <c:f>Distributions!$CS$21:$CS$28</c:f>
              <c:strCache>
                <c:ptCount val="7"/>
                <c:pt idx="0">
                  <c:v>小于等于50,000</c:v>
                </c:pt>
                <c:pt idx="1">
                  <c:v>50,000-100,000(含)</c:v>
                </c:pt>
                <c:pt idx="2">
                  <c:v>100,000-200,000(含)</c:v>
                </c:pt>
                <c:pt idx="3">
                  <c:v>200,000-300,000(含)</c:v>
                </c:pt>
                <c:pt idx="4">
                  <c:v>300,000-400,000(含)</c:v>
                </c:pt>
                <c:pt idx="5">
                  <c:v>400,000-500,000(含)</c:v>
                </c:pt>
                <c:pt idx="6">
                  <c:v>大于500,000</c:v>
                </c:pt>
              </c:strCache>
            </c:strRef>
          </c:cat>
          <c:val>
            <c:numRef>
              <c:f>Distributions!$CT$21:$CT$28</c:f>
              <c:numCache>
                <c:formatCode>#,##0.00;\-#,##0.00</c:formatCode>
                <c:ptCount val="7"/>
                <c:pt idx="0">
                  <c:v>12631121627.720243</c:v>
                </c:pt>
                <c:pt idx="1">
                  <c:v>6495908514.4800863</c:v>
                </c:pt>
                <c:pt idx="2">
                  <c:v>3683025871.2200389</c:v>
                </c:pt>
                <c:pt idx="3">
                  <c:v>1017132610.6099977</c:v>
                </c:pt>
                <c:pt idx="4">
                  <c:v>270742872.28999978</c:v>
                </c:pt>
                <c:pt idx="5">
                  <c:v>455069633.7500006</c:v>
                </c:pt>
                <c:pt idx="6">
                  <c:v>504704048.15999997</c:v>
                </c:pt>
              </c:numCache>
            </c:numRef>
          </c:val>
        </c:ser>
        <c:ser>
          <c:idx val="1"/>
          <c:order val="1"/>
          <c:tx>
            <c:strRef>
              <c:f>Distributions!$CU$20</c:f>
              <c:strCache>
                <c:ptCount val="1"/>
                <c:pt idx="0">
                  <c:v>本金余额占比</c:v>
                </c:pt>
              </c:strCache>
            </c:strRef>
          </c:tx>
          <c:spPr>
            <a:solidFill>
              <a:schemeClr val="accent2"/>
            </a:solidFill>
            <a:ln>
              <a:noFill/>
            </a:ln>
            <a:effectLst/>
          </c:spPr>
          <c:invertIfNegative val="0"/>
          <c:cat>
            <c:strRef>
              <c:f>Distributions!$CS$21:$CS$28</c:f>
              <c:strCache>
                <c:ptCount val="7"/>
                <c:pt idx="0">
                  <c:v>小于等于50,000</c:v>
                </c:pt>
                <c:pt idx="1">
                  <c:v>50,000-100,000(含)</c:v>
                </c:pt>
                <c:pt idx="2">
                  <c:v>100,000-200,000(含)</c:v>
                </c:pt>
                <c:pt idx="3">
                  <c:v>200,000-300,000(含)</c:v>
                </c:pt>
                <c:pt idx="4">
                  <c:v>300,000-400,000(含)</c:v>
                </c:pt>
                <c:pt idx="5">
                  <c:v>400,000-500,000(含)</c:v>
                </c:pt>
                <c:pt idx="6">
                  <c:v>大于500,000</c:v>
                </c:pt>
              </c:strCache>
            </c:strRef>
          </c:cat>
          <c:val>
            <c:numRef>
              <c:f>Distributions!$CU$21:$CU$28</c:f>
              <c:numCache>
                <c:formatCode>0.00%</c:formatCode>
                <c:ptCount val="7"/>
                <c:pt idx="0">
                  <c:v>0.50408134096390289</c:v>
                </c:pt>
                <c:pt idx="1">
                  <c:v>0.25923796565871216</c:v>
                </c:pt>
                <c:pt idx="2">
                  <c:v>0.14698177047832187</c:v>
                </c:pt>
                <c:pt idx="3">
                  <c:v>4.0591610579474885E-2</c:v>
                </c:pt>
                <c:pt idx="4">
                  <c:v>1.0804775232379269E-2</c:v>
                </c:pt>
                <c:pt idx="5">
                  <c:v>1.8160866308913441E-2</c:v>
                </c:pt>
                <c:pt idx="6">
                  <c:v>2.01416707783156E-2</c:v>
                </c:pt>
              </c:numCache>
            </c:numRef>
          </c:val>
        </c:ser>
        <c:ser>
          <c:idx val="2"/>
          <c:order val="2"/>
          <c:tx>
            <c:strRef>
              <c:f>Distributions!$CV$20</c:f>
              <c:strCache>
                <c:ptCount val="1"/>
                <c:pt idx="0">
                  <c:v>贷款笔数</c:v>
                </c:pt>
              </c:strCache>
            </c:strRef>
          </c:tx>
          <c:spPr>
            <a:solidFill>
              <a:schemeClr val="accent3"/>
            </a:solidFill>
            <a:ln>
              <a:noFill/>
            </a:ln>
            <a:effectLst/>
          </c:spPr>
          <c:invertIfNegative val="0"/>
          <c:cat>
            <c:strRef>
              <c:f>Distributions!$CS$21:$CS$28</c:f>
              <c:strCache>
                <c:ptCount val="7"/>
                <c:pt idx="0">
                  <c:v>小于等于50,000</c:v>
                </c:pt>
                <c:pt idx="1">
                  <c:v>50,000-100,000(含)</c:v>
                </c:pt>
                <c:pt idx="2">
                  <c:v>100,000-200,000(含)</c:v>
                </c:pt>
                <c:pt idx="3">
                  <c:v>200,000-300,000(含)</c:v>
                </c:pt>
                <c:pt idx="4">
                  <c:v>300,000-400,000(含)</c:v>
                </c:pt>
                <c:pt idx="5">
                  <c:v>400,000-500,000(含)</c:v>
                </c:pt>
                <c:pt idx="6">
                  <c:v>大于500,000</c:v>
                </c:pt>
              </c:strCache>
            </c:strRef>
          </c:cat>
          <c:val>
            <c:numRef>
              <c:f>Distributions!$CV$21:$CV$28</c:f>
              <c:numCache>
                <c:formatCode>#,##0;\-#,##0</c:formatCode>
                <c:ptCount val="7"/>
                <c:pt idx="0">
                  <c:v>68040</c:v>
                </c:pt>
                <c:pt idx="1">
                  <c:v>129912</c:v>
                </c:pt>
                <c:pt idx="2">
                  <c:v>57565</c:v>
                </c:pt>
                <c:pt idx="3">
                  <c:v>12837</c:v>
                </c:pt>
                <c:pt idx="4">
                  <c:v>2739</c:v>
                </c:pt>
                <c:pt idx="5">
                  <c:v>4658</c:v>
                </c:pt>
                <c:pt idx="6">
                  <c:v>4355</c:v>
                </c:pt>
              </c:numCache>
            </c:numRef>
          </c:val>
        </c:ser>
        <c:ser>
          <c:idx val="3"/>
          <c:order val="3"/>
          <c:tx>
            <c:strRef>
              <c:f>Distributions!$CW$20</c:f>
              <c:strCache>
                <c:ptCount val="1"/>
                <c:pt idx="0">
                  <c:v>贷款笔数占比</c:v>
                </c:pt>
              </c:strCache>
            </c:strRef>
          </c:tx>
          <c:spPr>
            <a:solidFill>
              <a:schemeClr val="accent4"/>
            </a:solidFill>
            <a:ln>
              <a:noFill/>
            </a:ln>
            <a:effectLst/>
          </c:spPr>
          <c:invertIfNegative val="0"/>
          <c:cat>
            <c:strRef>
              <c:f>Distributions!$CS$21:$CS$28</c:f>
              <c:strCache>
                <c:ptCount val="7"/>
                <c:pt idx="0">
                  <c:v>小于等于50,000</c:v>
                </c:pt>
                <c:pt idx="1">
                  <c:v>50,000-100,000(含)</c:v>
                </c:pt>
                <c:pt idx="2">
                  <c:v>100,000-200,000(含)</c:v>
                </c:pt>
                <c:pt idx="3">
                  <c:v>200,000-300,000(含)</c:v>
                </c:pt>
                <c:pt idx="4">
                  <c:v>300,000-400,000(含)</c:v>
                </c:pt>
                <c:pt idx="5">
                  <c:v>400,000-500,000(含)</c:v>
                </c:pt>
                <c:pt idx="6">
                  <c:v>大于500,000</c:v>
                </c:pt>
              </c:strCache>
            </c:strRef>
          </c:cat>
          <c:val>
            <c:numRef>
              <c:f>Distributions!$CW$21:$CW$28</c:f>
              <c:numCache>
                <c:formatCode>0.00%</c:formatCode>
                <c:ptCount val="7"/>
                <c:pt idx="0">
                  <c:v>0.24290804195554541</c:v>
                </c:pt>
                <c:pt idx="1">
                  <c:v>0.46379584871441526</c:v>
                </c:pt>
                <c:pt idx="2">
                  <c:v>0.20551148493784496</c:v>
                </c:pt>
                <c:pt idx="3">
                  <c:v>4.5829078991524635E-2</c:v>
                </c:pt>
                <c:pt idx="4">
                  <c:v>9.7784410187571856E-3</c:v>
                </c:pt>
                <c:pt idx="5">
                  <c:v>1.6629418862859062E-2</c:v>
                </c:pt>
                <c:pt idx="6">
                  <c:v>1.5547685519053502E-2</c:v>
                </c:pt>
              </c:numCache>
            </c:numRef>
          </c:val>
        </c:ser>
        <c:ser>
          <c:idx val="4"/>
          <c:order val="4"/>
          <c:tx>
            <c:strRef>
              <c:f>Distributions!$CX$20</c:f>
              <c:strCache>
                <c:ptCount val="1"/>
                <c:pt idx="0">
                  <c:v>合同金额</c:v>
                </c:pt>
              </c:strCache>
            </c:strRef>
          </c:tx>
          <c:spPr>
            <a:solidFill>
              <a:schemeClr val="accent5"/>
            </a:solidFill>
            <a:ln>
              <a:noFill/>
            </a:ln>
            <a:effectLst/>
          </c:spPr>
          <c:invertIfNegative val="0"/>
          <c:cat>
            <c:strRef>
              <c:f>Distributions!$CS$21:$CS$28</c:f>
              <c:strCache>
                <c:ptCount val="7"/>
                <c:pt idx="0">
                  <c:v>小于等于50,000</c:v>
                </c:pt>
                <c:pt idx="1">
                  <c:v>50,000-100,000(含)</c:v>
                </c:pt>
                <c:pt idx="2">
                  <c:v>100,000-200,000(含)</c:v>
                </c:pt>
                <c:pt idx="3">
                  <c:v>200,000-300,000(含)</c:v>
                </c:pt>
                <c:pt idx="4">
                  <c:v>300,000-400,000(含)</c:v>
                </c:pt>
                <c:pt idx="5">
                  <c:v>400,000-500,000(含)</c:v>
                </c:pt>
                <c:pt idx="6">
                  <c:v>大于500,000</c:v>
                </c:pt>
              </c:strCache>
            </c:strRef>
          </c:cat>
          <c:val>
            <c:numRef>
              <c:f>Distributions!$CX$21:$CX$28</c:f>
              <c:numCache>
                <c:formatCode>"¥"#,##0.00</c:formatCode>
                <c:ptCount val="7"/>
                <c:pt idx="0">
                  <c:v>16731510030</c:v>
                </c:pt>
                <c:pt idx="1">
                  <c:v>13217975271</c:v>
                </c:pt>
                <c:pt idx="2">
                  <c:v>7691144027</c:v>
                </c:pt>
                <c:pt idx="3">
                  <c:v>2221839424</c:v>
                </c:pt>
                <c:pt idx="4">
                  <c:v>571707178</c:v>
                </c:pt>
                <c:pt idx="5">
                  <c:v>1028902557</c:v>
                </c:pt>
                <c:pt idx="6">
                  <c:v>1136410952</c:v>
                </c:pt>
              </c:numCache>
            </c:numRef>
          </c:val>
        </c:ser>
        <c:ser>
          <c:idx val="5"/>
          <c:order val="5"/>
          <c:tx>
            <c:strRef>
              <c:f>Distributions!$CY$20</c:f>
              <c:strCache>
                <c:ptCount val="1"/>
                <c:pt idx="0">
                  <c:v>合同金额占比</c:v>
                </c:pt>
              </c:strCache>
            </c:strRef>
          </c:tx>
          <c:spPr>
            <a:solidFill>
              <a:schemeClr val="accent6"/>
            </a:solidFill>
            <a:ln>
              <a:noFill/>
            </a:ln>
            <a:effectLst/>
          </c:spPr>
          <c:invertIfNegative val="0"/>
          <c:cat>
            <c:strRef>
              <c:f>Distributions!$CS$21:$CS$28</c:f>
              <c:strCache>
                <c:ptCount val="7"/>
                <c:pt idx="0">
                  <c:v>小于等于50,000</c:v>
                </c:pt>
                <c:pt idx="1">
                  <c:v>50,000-100,000(含)</c:v>
                </c:pt>
                <c:pt idx="2">
                  <c:v>100,000-200,000(含)</c:v>
                </c:pt>
                <c:pt idx="3">
                  <c:v>200,000-300,000(含)</c:v>
                </c:pt>
                <c:pt idx="4">
                  <c:v>300,000-400,000(含)</c:v>
                </c:pt>
                <c:pt idx="5">
                  <c:v>400,000-500,000(含)</c:v>
                </c:pt>
                <c:pt idx="6">
                  <c:v>大于500,000</c:v>
                </c:pt>
              </c:strCache>
            </c:strRef>
          </c:cat>
          <c:val>
            <c:numRef>
              <c:f>Distributions!$CY$21:$CY$28</c:f>
              <c:numCache>
                <c:formatCode>0.00%</c:formatCode>
                <c:ptCount val="7"/>
                <c:pt idx="0">
                  <c:v>0.39276315867490741</c:v>
                </c:pt>
                <c:pt idx="1">
                  <c:v>0.31028482841155586</c:v>
                </c:pt>
                <c:pt idx="2">
                  <c:v>0.18054545085600784</c:v>
                </c:pt>
                <c:pt idx="3">
                  <c:v>5.2156480118888404E-2</c:v>
                </c:pt>
                <c:pt idx="4">
                  <c:v>1.3420517135977687E-2</c:v>
                </c:pt>
                <c:pt idx="5">
                  <c:v>2.4152931655984488E-2</c:v>
                </c:pt>
                <c:pt idx="6">
                  <c:v>2.667663314667831E-2</c:v>
                </c:pt>
              </c:numCache>
            </c:numRef>
          </c:val>
        </c:ser>
        <c:dLbls>
          <c:showLegendKey val="0"/>
          <c:showVal val="0"/>
          <c:showCatName val="0"/>
          <c:showSerName val="0"/>
          <c:showPercent val="0"/>
          <c:showBubbleSize val="0"/>
        </c:dLbls>
        <c:gapWidth val="219"/>
        <c:overlap val="-27"/>
        <c:axId val="247879392"/>
        <c:axId val="247879936"/>
      </c:barChart>
      <c:catAx>
        <c:axId val="24787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79936"/>
        <c:crosses val="autoZero"/>
        <c:auto val="1"/>
        <c:lblAlgn val="ctr"/>
        <c:lblOffset val="100"/>
        <c:noMultiLvlLbl val="0"/>
      </c:catAx>
      <c:valAx>
        <c:axId val="2478799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79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[资产池日统计报表.xlsm]Distributions!ptDistAge</c:name>
    <c:fmtId val="6"/>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63"/>
        <c:spPr>
          <a:solidFill>
            <a:schemeClr val="accent1"/>
          </a:solidFill>
          <a:ln>
            <a:noFill/>
          </a:ln>
          <a:effectLst/>
        </c:spPr>
        <c:marker>
          <c:symbol val="circle"/>
          <c:size val="5"/>
          <c:spPr>
            <a:solidFill>
              <a:schemeClr val="accent2"/>
            </a:solidFill>
            <a:ln w="9525">
              <a:solidFill>
                <a:schemeClr val="accent2"/>
              </a:solidFill>
            </a:ln>
            <a:effectLst/>
          </c:spPr>
        </c:marker>
      </c:pivotFmt>
      <c:pivotFmt>
        <c:idx val="64"/>
        <c:spPr>
          <a:solidFill>
            <a:schemeClr val="accent1"/>
          </a:solidFill>
          <a:ln>
            <a:noFill/>
          </a:ln>
          <a:effectLst/>
        </c:spPr>
        <c:marker>
          <c:symbol val="circle"/>
          <c:size val="5"/>
          <c:spPr>
            <a:solidFill>
              <a:schemeClr val="accent3"/>
            </a:solidFill>
            <a:ln w="9525">
              <a:solidFill>
                <a:schemeClr val="accent3"/>
              </a:solidFill>
            </a:ln>
            <a:effectLst/>
          </c:spPr>
        </c:marker>
      </c:pivotFmt>
      <c:pivotFmt>
        <c:idx val="65"/>
        <c:spPr>
          <a:solidFill>
            <a:schemeClr val="accent1"/>
          </a:solidFill>
          <a:ln>
            <a:noFill/>
          </a:ln>
          <a:effectLst/>
        </c:spPr>
        <c:marker>
          <c:symbol val="circle"/>
          <c:size val="5"/>
          <c:spPr>
            <a:solidFill>
              <a:schemeClr val="accent4"/>
            </a:solidFill>
            <a:ln w="9525">
              <a:solidFill>
                <a:schemeClr val="accent4"/>
              </a:solidFill>
            </a:ln>
            <a:effectLst/>
          </c:spPr>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s>
    <c:plotArea>
      <c:layout/>
      <c:barChart>
        <c:barDir val="col"/>
        <c:grouping val="clustered"/>
        <c:varyColors val="0"/>
        <c:ser>
          <c:idx val="0"/>
          <c:order val="0"/>
          <c:tx>
            <c:strRef>
              <c:f>Distributions!$DB$20</c:f>
              <c:strCache>
                <c:ptCount val="1"/>
                <c:pt idx="0">
                  <c:v>本金余额</c:v>
                </c:pt>
              </c:strCache>
            </c:strRef>
          </c:tx>
          <c:spPr>
            <a:solidFill>
              <a:schemeClr val="accent1"/>
            </a:solidFill>
            <a:ln>
              <a:noFill/>
            </a:ln>
            <a:effectLst/>
          </c:spPr>
          <c:invertIfNegative val="0"/>
          <c:cat>
            <c:strRef>
              <c:f>Distributions!$DA$21:$DA$26</c:f>
              <c:strCache>
                <c:ptCount val="5"/>
                <c:pt idx="0">
                  <c:v>小于等于 20 岁</c:v>
                </c:pt>
                <c:pt idx="1">
                  <c:v>20-30 岁(含)</c:v>
                </c:pt>
                <c:pt idx="2">
                  <c:v>30-40 岁(含)</c:v>
                </c:pt>
                <c:pt idx="3">
                  <c:v>40-50 岁(含)</c:v>
                </c:pt>
                <c:pt idx="4">
                  <c:v>大于 50 岁</c:v>
                </c:pt>
              </c:strCache>
            </c:strRef>
          </c:cat>
          <c:val>
            <c:numRef>
              <c:f>Distributions!$DB$21:$DB$26</c:f>
              <c:numCache>
                <c:formatCode>#,##0.00;\-#,##0.00</c:formatCode>
                <c:ptCount val="5"/>
                <c:pt idx="0">
                  <c:v>3216942500.150001</c:v>
                </c:pt>
                <c:pt idx="1">
                  <c:v>6909802001.2101088</c:v>
                </c:pt>
                <c:pt idx="2">
                  <c:v>8669495391.420126</c:v>
                </c:pt>
                <c:pt idx="3">
                  <c:v>4367169168.2300081</c:v>
                </c:pt>
                <c:pt idx="4">
                  <c:v>1894296117.2199986</c:v>
                </c:pt>
              </c:numCache>
            </c:numRef>
          </c:val>
        </c:ser>
        <c:ser>
          <c:idx val="1"/>
          <c:order val="1"/>
          <c:tx>
            <c:strRef>
              <c:f>Distributions!$DC$20</c:f>
              <c:strCache>
                <c:ptCount val="1"/>
                <c:pt idx="0">
                  <c:v>本金余额占比</c:v>
                </c:pt>
              </c:strCache>
            </c:strRef>
          </c:tx>
          <c:spPr>
            <a:solidFill>
              <a:schemeClr val="accent2"/>
            </a:solidFill>
            <a:ln>
              <a:noFill/>
            </a:ln>
            <a:effectLst/>
          </c:spPr>
          <c:invertIfNegative val="0"/>
          <c:cat>
            <c:strRef>
              <c:f>Distributions!$DA$21:$DA$26</c:f>
              <c:strCache>
                <c:ptCount val="5"/>
                <c:pt idx="0">
                  <c:v>小于等于 20 岁</c:v>
                </c:pt>
                <c:pt idx="1">
                  <c:v>20-30 岁(含)</c:v>
                </c:pt>
                <c:pt idx="2">
                  <c:v>30-40 岁(含)</c:v>
                </c:pt>
                <c:pt idx="3">
                  <c:v>40-50 岁(含)</c:v>
                </c:pt>
                <c:pt idx="4">
                  <c:v>大于 50 岁</c:v>
                </c:pt>
              </c:strCache>
            </c:strRef>
          </c:cat>
          <c:val>
            <c:numRef>
              <c:f>Distributions!$DC$21:$DC$26</c:f>
              <c:numCache>
                <c:formatCode>0.00%</c:formatCode>
                <c:ptCount val="5"/>
                <c:pt idx="0">
                  <c:v>0.1283813692143238</c:v>
                </c:pt>
                <c:pt idx="1">
                  <c:v>0.27575557905491466</c:v>
                </c:pt>
                <c:pt idx="2">
                  <c:v>0.34598121933975756</c:v>
                </c:pt>
                <c:pt idx="3">
                  <c:v>0.17428448204523556</c:v>
                </c:pt>
                <c:pt idx="4">
                  <c:v>7.559735034578359E-2</c:v>
                </c:pt>
              </c:numCache>
            </c:numRef>
          </c:val>
        </c:ser>
        <c:ser>
          <c:idx val="2"/>
          <c:order val="2"/>
          <c:tx>
            <c:strRef>
              <c:f>Distributions!$DD$20</c:f>
              <c:strCache>
                <c:ptCount val="1"/>
                <c:pt idx="0">
                  <c:v>贷款笔数</c:v>
                </c:pt>
              </c:strCache>
            </c:strRef>
          </c:tx>
          <c:spPr>
            <a:solidFill>
              <a:schemeClr val="accent3"/>
            </a:solidFill>
            <a:ln>
              <a:noFill/>
            </a:ln>
            <a:effectLst/>
          </c:spPr>
          <c:invertIfNegative val="0"/>
          <c:cat>
            <c:strRef>
              <c:f>Distributions!$DA$21:$DA$26</c:f>
              <c:strCache>
                <c:ptCount val="5"/>
                <c:pt idx="0">
                  <c:v>小于等于 20 岁</c:v>
                </c:pt>
                <c:pt idx="1">
                  <c:v>20-30 岁(含)</c:v>
                </c:pt>
                <c:pt idx="2">
                  <c:v>30-40 岁(含)</c:v>
                </c:pt>
                <c:pt idx="3">
                  <c:v>40-50 岁(含)</c:v>
                </c:pt>
                <c:pt idx="4">
                  <c:v>大于 50 岁</c:v>
                </c:pt>
              </c:strCache>
            </c:strRef>
          </c:cat>
          <c:val>
            <c:numRef>
              <c:f>Distributions!$DD$21:$DD$26</c:f>
              <c:numCache>
                <c:formatCode>#,##0;\-#,##0</c:formatCode>
                <c:ptCount val="5"/>
                <c:pt idx="0">
                  <c:v>130</c:v>
                </c:pt>
                <c:pt idx="1">
                  <c:v>95201</c:v>
                </c:pt>
                <c:pt idx="2">
                  <c:v>126414</c:v>
                </c:pt>
                <c:pt idx="3">
                  <c:v>43421</c:v>
                </c:pt>
                <c:pt idx="4">
                  <c:v>14940</c:v>
                </c:pt>
              </c:numCache>
            </c:numRef>
          </c:val>
        </c:ser>
        <c:ser>
          <c:idx val="3"/>
          <c:order val="3"/>
          <c:tx>
            <c:strRef>
              <c:f>Distributions!$DE$20</c:f>
              <c:strCache>
                <c:ptCount val="1"/>
                <c:pt idx="0">
                  <c:v>贷款笔数占比</c:v>
                </c:pt>
              </c:strCache>
            </c:strRef>
          </c:tx>
          <c:spPr>
            <a:solidFill>
              <a:schemeClr val="accent4"/>
            </a:solidFill>
            <a:ln>
              <a:noFill/>
            </a:ln>
            <a:effectLst/>
          </c:spPr>
          <c:invertIfNegative val="0"/>
          <c:cat>
            <c:strRef>
              <c:f>Distributions!$DA$21:$DA$26</c:f>
              <c:strCache>
                <c:ptCount val="5"/>
                <c:pt idx="0">
                  <c:v>小于等于 20 岁</c:v>
                </c:pt>
                <c:pt idx="1">
                  <c:v>20-30 岁(含)</c:v>
                </c:pt>
                <c:pt idx="2">
                  <c:v>30-40 岁(含)</c:v>
                </c:pt>
                <c:pt idx="3">
                  <c:v>40-50 岁(含)</c:v>
                </c:pt>
                <c:pt idx="4">
                  <c:v>大于 50 岁</c:v>
                </c:pt>
              </c:strCache>
            </c:strRef>
          </c:cat>
          <c:val>
            <c:numRef>
              <c:f>Distributions!$DE$21:$DE$26</c:f>
              <c:numCache>
                <c:formatCode>0.00%</c:formatCode>
                <c:ptCount val="5"/>
                <c:pt idx="0">
                  <c:v>4.6411001549413435E-4</c:v>
                </c:pt>
                <c:pt idx="1">
                  <c:v>0.33987490450043911</c:v>
                </c:pt>
                <c:pt idx="2">
                  <c:v>0.45130771922058077</c:v>
                </c:pt>
                <c:pt idx="3">
                  <c:v>0.15501631525208315</c:v>
                </c:pt>
                <c:pt idx="4">
                  <c:v>5.3336951011402824E-2</c:v>
                </c:pt>
              </c:numCache>
            </c:numRef>
          </c:val>
        </c:ser>
        <c:ser>
          <c:idx val="4"/>
          <c:order val="4"/>
          <c:tx>
            <c:strRef>
              <c:f>Distributions!$DF$20</c:f>
              <c:strCache>
                <c:ptCount val="1"/>
                <c:pt idx="0">
                  <c:v>合同金额</c:v>
                </c:pt>
              </c:strCache>
            </c:strRef>
          </c:tx>
          <c:spPr>
            <a:solidFill>
              <a:schemeClr val="accent5"/>
            </a:solidFill>
            <a:ln>
              <a:noFill/>
            </a:ln>
            <a:effectLst/>
          </c:spPr>
          <c:invertIfNegative val="0"/>
          <c:cat>
            <c:strRef>
              <c:f>Distributions!$DA$21:$DA$26</c:f>
              <c:strCache>
                <c:ptCount val="5"/>
                <c:pt idx="0">
                  <c:v>小于等于 20 岁</c:v>
                </c:pt>
                <c:pt idx="1">
                  <c:v>20-30 岁(含)</c:v>
                </c:pt>
                <c:pt idx="2">
                  <c:v>30-40 岁(含)</c:v>
                </c:pt>
                <c:pt idx="3">
                  <c:v>40-50 岁(含)</c:v>
                </c:pt>
                <c:pt idx="4">
                  <c:v>大于 50 岁</c:v>
                </c:pt>
              </c:strCache>
            </c:strRef>
          </c:cat>
          <c:val>
            <c:numRef>
              <c:f>Distributions!$DF$21:$DF$26</c:f>
              <c:numCache>
                <c:formatCode>"¥"#,##0.00</c:formatCode>
                <c:ptCount val="5"/>
                <c:pt idx="0">
                  <c:v>3280255200</c:v>
                </c:pt>
                <c:pt idx="1">
                  <c:v>11454703807</c:v>
                </c:pt>
                <c:pt idx="2">
                  <c:v>16711272636</c:v>
                </c:pt>
                <c:pt idx="3">
                  <c:v>8003445974</c:v>
                </c:pt>
                <c:pt idx="4">
                  <c:v>3149811822</c:v>
                </c:pt>
              </c:numCache>
            </c:numRef>
          </c:val>
        </c:ser>
        <c:ser>
          <c:idx val="5"/>
          <c:order val="5"/>
          <c:tx>
            <c:strRef>
              <c:f>Distributions!$DG$20</c:f>
              <c:strCache>
                <c:ptCount val="1"/>
                <c:pt idx="0">
                  <c:v>合同金额占比</c:v>
                </c:pt>
              </c:strCache>
            </c:strRef>
          </c:tx>
          <c:spPr>
            <a:solidFill>
              <a:schemeClr val="accent6"/>
            </a:solidFill>
            <a:ln>
              <a:noFill/>
            </a:ln>
            <a:effectLst/>
          </c:spPr>
          <c:invertIfNegative val="0"/>
          <c:cat>
            <c:strRef>
              <c:f>Distributions!$DA$21:$DA$26</c:f>
              <c:strCache>
                <c:ptCount val="5"/>
                <c:pt idx="0">
                  <c:v>小于等于 20 岁</c:v>
                </c:pt>
                <c:pt idx="1">
                  <c:v>20-30 岁(含)</c:v>
                </c:pt>
                <c:pt idx="2">
                  <c:v>30-40 岁(含)</c:v>
                </c:pt>
                <c:pt idx="3">
                  <c:v>40-50 岁(含)</c:v>
                </c:pt>
                <c:pt idx="4">
                  <c:v>大于 50 岁</c:v>
                </c:pt>
              </c:strCache>
            </c:strRef>
          </c:cat>
          <c:val>
            <c:numRef>
              <c:f>Distributions!$DG$21:$DG$26</c:f>
              <c:numCache>
                <c:formatCode>0.00%</c:formatCode>
                <c:ptCount val="5"/>
                <c:pt idx="0">
                  <c:v>7.7002218646238366E-2</c:v>
                </c:pt>
                <c:pt idx="1">
                  <c:v>0.2688929834101057</c:v>
                </c:pt>
                <c:pt idx="2">
                  <c:v>0.39228809678410759</c:v>
                </c:pt>
                <c:pt idx="3">
                  <c:v>0.18787657033919317</c:v>
                </c:pt>
                <c:pt idx="4">
                  <c:v>7.3940130820355207E-2</c:v>
                </c:pt>
              </c:numCache>
            </c:numRef>
          </c:val>
        </c:ser>
        <c:dLbls>
          <c:showLegendKey val="0"/>
          <c:showVal val="0"/>
          <c:showCatName val="0"/>
          <c:showSerName val="0"/>
          <c:showPercent val="0"/>
          <c:showBubbleSize val="0"/>
        </c:dLbls>
        <c:gapWidth val="219"/>
        <c:overlap val="-27"/>
        <c:axId val="247884288"/>
        <c:axId val="247886464"/>
      </c:barChart>
      <c:catAx>
        <c:axId val="24788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86464"/>
        <c:crosses val="autoZero"/>
        <c:auto val="1"/>
        <c:lblAlgn val="ctr"/>
        <c:lblOffset val="100"/>
        <c:noMultiLvlLbl val="0"/>
      </c:catAx>
      <c:valAx>
        <c:axId val="2478864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8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[资产池日统计报表.xlsm]Distributions!ptDistCreditScore</c:name>
    <c:fmtId val="9"/>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63"/>
        <c:spPr>
          <a:solidFill>
            <a:schemeClr val="accent1"/>
          </a:solidFill>
          <a:ln>
            <a:noFill/>
          </a:ln>
          <a:effectLst/>
        </c:spPr>
        <c:marker>
          <c:symbol val="circle"/>
          <c:size val="5"/>
          <c:spPr>
            <a:solidFill>
              <a:schemeClr val="accent2"/>
            </a:solidFill>
            <a:ln w="9525">
              <a:solidFill>
                <a:schemeClr val="accent2"/>
              </a:solidFill>
            </a:ln>
            <a:effectLst/>
          </c:spPr>
        </c:marker>
      </c:pivotFmt>
      <c:pivotFmt>
        <c:idx val="64"/>
        <c:spPr>
          <a:solidFill>
            <a:schemeClr val="accent1"/>
          </a:solidFill>
          <a:ln>
            <a:noFill/>
          </a:ln>
          <a:effectLst/>
        </c:spPr>
        <c:marker>
          <c:symbol val="circle"/>
          <c:size val="5"/>
          <c:spPr>
            <a:solidFill>
              <a:schemeClr val="accent3"/>
            </a:solidFill>
            <a:ln w="9525">
              <a:solidFill>
                <a:schemeClr val="accent3"/>
              </a:solidFill>
            </a:ln>
            <a:effectLst/>
          </c:spPr>
        </c:marker>
      </c:pivotFmt>
      <c:pivotFmt>
        <c:idx val="65"/>
        <c:spPr>
          <a:solidFill>
            <a:schemeClr val="accent1"/>
          </a:solidFill>
          <a:ln>
            <a:noFill/>
          </a:ln>
          <a:effectLst/>
        </c:spPr>
        <c:marker>
          <c:symbol val="circle"/>
          <c:size val="5"/>
          <c:spPr>
            <a:solidFill>
              <a:schemeClr val="accent4"/>
            </a:solidFill>
            <a:ln w="9525">
              <a:solidFill>
                <a:schemeClr val="accent4"/>
              </a:solidFill>
            </a:ln>
            <a:effectLst/>
          </c:spPr>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s>
    <c:plotArea>
      <c:layout/>
      <c:barChart>
        <c:barDir val="col"/>
        <c:grouping val="clustered"/>
        <c:varyColors val="0"/>
        <c:ser>
          <c:idx val="0"/>
          <c:order val="0"/>
          <c:tx>
            <c:strRef>
              <c:f>Distributions!$DJ$20</c:f>
              <c:strCache>
                <c:ptCount val="1"/>
                <c:pt idx="0">
                  <c:v>本金余额</c:v>
                </c:pt>
              </c:strCache>
            </c:strRef>
          </c:tx>
          <c:spPr>
            <a:solidFill>
              <a:schemeClr val="accent1"/>
            </a:solidFill>
            <a:ln>
              <a:noFill/>
            </a:ln>
            <a:effectLst/>
          </c:spPr>
          <c:invertIfNegative val="0"/>
          <c:cat>
            <c:strRef>
              <c:f>Distributions!$DI$21:$DI$22</c:f>
              <c:strCache>
                <c:ptCount val="1"/>
                <c:pt idx="0">
                  <c:v>小于等于 0.2</c:v>
                </c:pt>
              </c:strCache>
            </c:strRef>
          </c:cat>
          <c:val>
            <c:numRef>
              <c:f>Distributions!$DJ$21:$DJ$22</c:f>
              <c:numCache>
                <c:formatCode>#,##0.00;\-#,##0.00</c:formatCode>
                <c:ptCount val="1"/>
                <c:pt idx="0">
                  <c:v>25057705178.231136</c:v>
                </c:pt>
              </c:numCache>
            </c:numRef>
          </c:val>
        </c:ser>
        <c:ser>
          <c:idx val="1"/>
          <c:order val="1"/>
          <c:tx>
            <c:strRef>
              <c:f>Distributions!$DK$20</c:f>
              <c:strCache>
                <c:ptCount val="1"/>
                <c:pt idx="0">
                  <c:v>本金余额占比</c:v>
                </c:pt>
              </c:strCache>
            </c:strRef>
          </c:tx>
          <c:spPr>
            <a:solidFill>
              <a:schemeClr val="accent2"/>
            </a:solidFill>
            <a:ln>
              <a:noFill/>
            </a:ln>
            <a:effectLst/>
          </c:spPr>
          <c:invertIfNegative val="0"/>
          <c:cat>
            <c:strRef>
              <c:f>Distributions!$DI$21:$DI$22</c:f>
              <c:strCache>
                <c:ptCount val="1"/>
                <c:pt idx="0">
                  <c:v>小于等于 0.2</c:v>
                </c:pt>
              </c:strCache>
            </c:strRef>
          </c:cat>
          <c:val>
            <c:numRef>
              <c:f>Distributions!$DK$21:$DK$22</c:f>
              <c:numCache>
                <c:formatCode>0.00%</c:formatCode>
                <c:ptCount val="1"/>
                <c:pt idx="0">
                  <c:v>1.0000000000000506</c:v>
                </c:pt>
              </c:numCache>
            </c:numRef>
          </c:val>
        </c:ser>
        <c:ser>
          <c:idx val="2"/>
          <c:order val="2"/>
          <c:tx>
            <c:strRef>
              <c:f>Distributions!$DL$20</c:f>
              <c:strCache>
                <c:ptCount val="1"/>
                <c:pt idx="0">
                  <c:v>贷款笔数</c:v>
                </c:pt>
              </c:strCache>
            </c:strRef>
          </c:tx>
          <c:spPr>
            <a:solidFill>
              <a:schemeClr val="accent3"/>
            </a:solidFill>
            <a:ln>
              <a:noFill/>
            </a:ln>
            <a:effectLst/>
          </c:spPr>
          <c:invertIfNegative val="0"/>
          <c:cat>
            <c:strRef>
              <c:f>Distributions!$DI$21:$DI$22</c:f>
              <c:strCache>
                <c:ptCount val="1"/>
                <c:pt idx="0">
                  <c:v>小于等于 0.2</c:v>
                </c:pt>
              </c:strCache>
            </c:strRef>
          </c:cat>
          <c:val>
            <c:numRef>
              <c:f>Distributions!$DL$21:$DL$22</c:f>
              <c:numCache>
                <c:formatCode>#,##0;\-#,##0</c:formatCode>
                <c:ptCount val="1"/>
                <c:pt idx="0">
                  <c:v>280106</c:v>
                </c:pt>
              </c:numCache>
            </c:numRef>
          </c:val>
        </c:ser>
        <c:ser>
          <c:idx val="3"/>
          <c:order val="3"/>
          <c:tx>
            <c:strRef>
              <c:f>Distributions!$DM$20</c:f>
              <c:strCache>
                <c:ptCount val="1"/>
                <c:pt idx="0">
                  <c:v>贷款笔数占比</c:v>
                </c:pt>
              </c:strCache>
            </c:strRef>
          </c:tx>
          <c:spPr>
            <a:solidFill>
              <a:schemeClr val="accent4"/>
            </a:solidFill>
            <a:ln>
              <a:noFill/>
            </a:ln>
            <a:effectLst/>
          </c:spPr>
          <c:invertIfNegative val="0"/>
          <c:cat>
            <c:strRef>
              <c:f>Distributions!$DI$21:$DI$22</c:f>
              <c:strCache>
                <c:ptCount val="1"/>
                <c:pt idx="0">
                  <c:v>小于等于 0.2</c:v>
                </c:pt>
              </c:strCache>
            </c:strRef>
          </c:cat>
          <c:val>
            <c:numRef>
              <c:f>Distributions!$DM$21:$DM$22</c:f>
              <c:numCache>
                <c:formatCode>0.00%</c:formatCode>
                <c:ptCount val="1"/>
                <c:pt idx="0">
                  <c:v>1</c:v>
                </c:pt>
              </c:numCache>
            </c:numRef>
          </c:val>
        </c:ser>
        <c:ser>
          <c:idx val="4"/>
          <c:order val="4"/>
          <c:tx>
            <c:strRef>
              <c:f>Distributions!$DN$20</c:f>
              <c:strCache>
                <c:ptCount val="1"/>
                <c:pt idx="0">
                  <c:v>合同总金额</c:v>
                </c:pt>
              </c:strCache>
            </c:strRef>
          </c:tx>
          <c:spPr>
            <a:solidFill>
              <a:schemeClr val="accent5"/>
            </a:solidFill>
            <a:ln>
              <a:noFill/>
            </a:ln>
            <a:effectLst/>
          </c:spPr>
          <c:invertIfNegative val="0"/>
          <c:cat>
            <c:strRef>
              <c:f>Distributions!$DI$21:$DI$22</c:f>
              <c:strCache>
                <c:ptCount val="1"/>
                <c:pt idx="0">
                  <c:v>小于等于 0.2</c:v>
                </c:pt>
              </c:strCache>
            </c:strRef>
          </c:cat>
          <c:val>
            <c:numRef>
              <c:f>Distributions!$DN$21:$DN$22</c:f>
              <c:numCache>
                <c:formatCode>"¥"#,##0.00</c:formatCode>
                <c:ptCount val="1"/>
                <c:pt idx="0">
                  <c:v>42599489439</c:v>
                </c:pt>
              </c:numCache>
            </c:numRef>
          </c:val>
        </c:ser>
        <c:ser>
          <c:idx val="5"/>
          <c:order val="5"/>
          <c:tx>
            <c:strRef>
              <c:f>Distributions!$DO$20</c:f>
              <c:strCache>
                <c:ptCount val="1"/>
                <c:pt idx="0">
                  <c:v>合同金额占比</c:v>
                </c:pt>
              </c:strCache>
            </c:strRef>
          </c:tx>
          <c:spPr>
            <a:solidFill>
              <a:schemeClr val="accent6"/>
            </a:solidFill>
            <a:ln>
              <a:noFill/>
            </a:ln>
            <a:effectLst/>
          </c:spPr>
          <c:invertIfNegative val="0"/>
          <c:cat>
            <c:strRef>
              <c:f>Distributions!$DI$21:$DI$22</c:f>
              <c:strCache>
                <c:ptCount val="1"/>
                <c:pt idx="0">
                  <c:v>小于等于 0.2</c:v>
                </c:pt>
              </c:strCache>
            </c:strRef>
          </c:cat>
          <c:val>
            <c:numRef>
              <c:f>Distributions!$DO$21:$DO$22</c:f>
              <c:numCache>
                <c:formatCode>0.00%</c:formatCode>
                <c:ptCount val="1"/>
                <c:pt idx="0">
                  <c:v>1</c:v>
                </c:pt>
              </c:numCache>
            </c:numRef>
          </c:val>
        </c:ser>
        <c:dLbls>
          <c:showLegendKey val="0"/>
          <c:showVal val="0"/>
          <c:showCatName val="0"/>
          <c:showSerName val="0"/>
          <c:showPercent val="0"/>
          <c:showBubbleSize val="0"/>
        </c:dLbls>
        <c:gapWidth val="219"/>
        <c:overlap val="-27"/>
        <c:axId val="247891904"/>
        <c:axId val="247887008"/>
      </c:barChart>
      <c:catAx>
        <c:axId val="247891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87008"/>
        <c:crosses val="autoZero"/>
        <c:auto val="1"/>
        <c:lblAlgn val="ctr"/>
        <c:lblOffset val="100"/>
        <c:noMultiLvlLbl val="0"/>
      </c:catAx>
      <c:valAx>
        <c:axId val="2478870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91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[资产池日统计报表.xlsm]Distributions!ptDistContractAmount</c:name>
    <c:fmtId val="16"/>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63"/>
        <c:spPr>
          <a:solidFill>
            <a:schemeClr val="accent1"/>
          </a:solidFill>
          <a:ln>
            <a:noFill/>
          </a:ln>
          <a:effectLst/>
        </c:spPr>
        <c:marker>
          <c:symbol val="circle"/>
          <c:size val="5"/>
          <c:spPr>
            <a:solidFill>
              <a:schemeClr val="accent2"/>
            </a:solidFill>
            <a:ln w="9525">
              <a:solidFill>
                <a:schemeClr val="accent2"/>
              </a:solidFill>
            </a:ln>
            <a:effectLst/>
          </c:spPr>
        </c:marker>
      </c:pivotFmt>
      <c:pivotFmt>
        <c:idx val="64"/>
        <c:spPr>
          <a:solidFill>
            <a:schemeClr val="accent1"/>
          </a:solidFill>
          <a:ln>
            <a:noFill/>
          </a:ln>
          <a:effectLst/>
        </c:spPr>
        <c:marker>
          <c:symbol val="circle"/>
          <c:size val="5"/>
          <c:spPr>
            <a:solidFill>
              <a:schemeClr val="accent3"/>
            </a:solidFill>
            <a:ln w="9525">
              <a:solidFill>
                <a:schemeClr val="accent3"/>
              </a:solidFill>
            </a:ln>
            <a:effectLst/>
          </c:spPr>
        </c:marker>
      </c:pivotFmt>
      <c:pivotFmt>
        <c:idx val="65"/>
        <c:spPr>
          <a:solidFill>
            <a:schemeClr val="accent1"/>
          </a:solidFill>
          <a:ln>
            <a:noFill/>
          </a:ln>
          <a:effectLst/>
        </c:spPr>
        <c:marker>
          <c:symbol val="circle"/>
          <c:size val="5"/>
          <c:spPr>
            <a:solidFill>
              <a:schemeClr val="accent4"/>
            </a:solidFill>
            <a:ln w="9525">
              <a:solidFill>
                <a:schemeClr val="accent4"/>
              </a:solidFill>
            </a:ln>
            <a:effectLst/>
          </c:spPr>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s>
    <c:plotArea>
      <c:layout/>
      <c:barChart>
        <c:barDir val="col"/>
        <c:grouping val="clustered"/>
        <c:varyColors val="0"/>
        <c:ser>
          <c:idx val="0"/>
          <c:order val="0"/>
          <c:tx>
            <c:strRef>
              <c:f>Distributions!$AH$20</c:f>
              <c:strCache>
                <c:ptCount val="1"/>
                <c:pt idx="0">
                  <c:v>本金余额</c:v>
                </c:pt>
              </c:strCache>
            </c:strRef>
          </c:tx>
          <c:spPr>
            <a:solidFill>
              <a:schemeClr val="accent1"/>
            </a:solidFill>
            <a:ln>
              <a:noFill/>
            </a:ln>
            <a:effectLst/>
          </c:spPr>
          <c:invertIfNegative val="0"/>
          <c:cat>
            <c:strRef>
              <c:f>Distributions!$AG$21:$AG$27</c:f>
              <c:strCache>
                <c:ptCount val="6"/>
                <c:pt idx="0">
                  <c:v>50万元以内（含）</c:v>
                </c:pt>
                <c:pt idx="1">
                  <c:v>50万元（不含）-100万元（含）</c:v>
                </c:pt>
                <c:pt idx="2">
                  <c:v>100万元（不含）-300万元（含）</c:v>
                </c:pt>
                <c:pt idx="3">
                  <c:v>300万元（不含）-500万元（含）</c:v>
                </c:pt>
                <c:pt idx="4">
                  <c:v>500万元（不含）-700万元（含）</c:v>
                </c:pt>
                <c:pt idx="5">
                  <c:v>700万元（不含）以上</c:v>
                </c:pt>
              </c:strCache>
            </c:strRef>
          </c:cat>
          <c:val>
            <c:numRef>
              <c:f>Distributions!$AH$21:$AH$27</c:f>
              <c:numCache>
                <c:formatCode>[$¥-804]#,##0.00</c:formatCode>
                <c:ptCount val="6"/>
                <c:pt idx="0">
                  <c:v>17268554242.400032</c:v>
                </c:pt>
                <c:pt idx="1">
                  <c:v>1613101222.6900001</c:v>
                </c:pt>
                <c:pt idx="2">
                  <c:v>1442166614.4000008</c:v>
                </c:pt>
                <c:pt idx="3">
                  <c:v>280146093.36000001</c:v>
                </c:pt>
                <c:pt idx="4">
                  <c:v>185613336.01999995</c:v>
                </c:pt>
                <c:pt idx="5">
                  <c:v>4268123669.3599997</c:v>
                </c:pt>
              </c:numCache>
            </c:numRef>
          </c:val>
        </c:ser>
        <c:ser>
          <c:idx val="1"/>
          <c:order val="1"/>
          <c:tx>
            <c:strRef>
              <c:f>Distributions!$AI$20</c:f>
              <c:strCache>
                <c:ptCount val="1"/>
                <c:pt idx="0">
                  <c:v>本金余额占比</c:v>
                </c:pt>
              </c:strCache>
            </c:strRef>
          </c:tx>
          <c:spPr>
            <a:solidFill>
              <a:schemeClr val="accent2"/>
            </a:solidFill>
            <a:ln>
              <a:noFill/>
            </a:ln>
            <a:effectLst/>
          </c:spPr>
          <c:invertIfNegative val="0"/>
          <c:cat>
            <c:strRef>
              <c:f>Distributions!$AG$21:$AG$27</c:f>
              <c:strCache>
                <c:ptCount val="6"/>
                <c:pt idx="0">
                  <c:v>50万元以内（含）</c:v>
                </c:pt>
                <c:pt idx="1">
                  <c:v>50万元（不含）-100万元（含）</c:v>
                </c:pt>
                <c:pt idx="2">
                  <c:v>100万元（不含）-300万元（含）</c:v>
                </c:pt>
                <c:pt idx="3">
                  <c:v>300万元（不含）-500万元（含）</c:v>
                </c:pt>
                <c:pt idx="4">
                  <c:v>500万元（不含）-700万元（含）</c:v>
                </c:pt>
                <c:pt idx="5">
                  <c:v>700万元（不含）以上</c:v>
                </c:pt>
              </c:strCache>
            </c:strRef>
          </c:cat>
          <c:val>
            <c:numRef>
              <c:f>Distributions!$AI$21:$AI$27</c:f>
              <c:numCache>
                <c:formatCode>0.00%</c:formatCode>
                <c:ptCount val="6"/>
                <c:pt idx="0">
                  <c:v>0.68915146537053817</c:v>
                </c:pt>
                <c:pt idx="1">
                  <c:v>6.437545701876414E-2</c:v>
                </c:pt>
                <c:pt idx="2">
                  <c:v>5.7553818441959934E-2</c:v>
                </c:pt>
                <c:pt idx="3">
                  <c:v>1.1180037891234788E-2</c:v>
                </c:pt>
                <c:pt idx="4">
                  <c:v>7.407435545265368E-3</c:v>
                </c:pt>
                <c:pt idx="5">
                  <c:v>0.17033178573224439</c:v>
                </c:pt>
              </c:numCache>
            </c:numRef>
          </c:val>
        </c:ser>
        <c:ser>
          <c:idx val="2"/>
          <c:order val="2"/>
          <c:tx>
            <c:strRef>
              <c:f>Distributions!$AJ$20</c:f>
              <c:strCache>
                <c:ptCount val="1"/>
                <c:pt idx="0">
                  <c:v>贷款笔数</c:v>
                </c:pt>
              </c:strCache>
            </c:strRef>
          </c:tx>
          <c:spPr>
            <a:solidFill>
              <a:schemeClr val="accent3"/>
            </a:solidFill>
            <a:ln>
              <a:noFill/>
            </a:ln>
            <a:effectLst/>
          </c:spPr>
          <c:invertIfNegative val="0"/>
          <c:cat>
            <c:strRef>
              <c:f>Distributions!$AG$21:$AG$27</c:f>
              <c:strCache>
                <c:ptCount val="6"/>
                <c:pt idx="0">
                  <c:v>50万元以内（含）</c:v>
                </c:pt>
                <c:pt idx="1">
                  <c:v>50万元（不含）-100万元（含）</c:v>
                </c:pt>
                <c:pt idx="2">
                  <c:v>100万元（不含）-300万元（含）</c:v>
                </c:pt>
                <c:pt idx="3">
                  <c:v>300万元（不含）-500万元（含）</c:v>
                </c:pt>
                <c:pt idx="4">
                  <c:v>500万元（不含）-700万元（含）</c:v>
                </c:pt>
                <c:pt idx="5">
                  <c:v>700万元（不含）以上</c:v>
                </c:pt>
              </c:strCache>
            </c:strRef>
          </c:cat>
          <c:val>
            <c:numRef>
              <c:f>Distributions!$AJ$21:$AJ$27</c:f>
              <c:numCache>
                <c:formatCode>#,##0;\-#,##0</c:formatCode>
                <c:ptCount val="6"/>
                <c:pt idx="0">
                  <c:v>275134</c:v>
                </c:pt>
                <c:pt idx="1">
                  <c:v>3597</c:v>
                </c:pt>
                <c:pt idx="2">
                  <c:v>1100</c:v>
                </c:pt>
                <c:pt idx="3">
                  <c:v>78</c:v>
                </c:pt>
                <c:pt idx="4">
                  <c:v>34</c:v>
                </c:pt>
                <c:pt idx="5">
                  <c:v>163</c:v>
                </c:pt>
              </c:numCache>
            </c:numRef>
          </c:val>
        </c:ser>
        <c:ser>
          <c:idx val="3"/>
          <c:order val="3"/>
          <c:tx>
            <c:strRef>
              <c:f>Distributions!$AK$20</c:f>
              <c:strCache>
                <c:ptCount val="1"/>
                <c:pt idx="0">
                  <c:v>贷款笔数占比</c:v>
                </c:pt>
              </c:strCache>
            </c:strRef>
          </c:tx>
          <c:spPr>
            <a:solidFill>
              <a:schemeClr val="accent4"/>
            </a:solidFill>
            <a:ln>
              <a:noFill/>
            </a:ln>
            <a:effectLst/>
          </c:spPr>
          <c:invertIfNegative val="0"/>
          <c:cat>
            <c:strRef>
              <c:f>Distributions!$AG$21:$AG$27</c:f>
              <c:strCache>
                <c:ptCount val="6"/>
                <c:pt idx="0">
                  <c:v>50万元以内（含）</c:v>
                </c:pt>
                <c:pt idx="1">
                  <c:v>50万元（不含）-100万元（含）</c:v>
                </c:pt>
                <c:pt idx="2">
                  <c:v>100万元（不含）-300万元（含）</c:v>
                </c:pt>
                <c:pt idx="3">
                  <c:v>300万元（不含）-500万元（含）</c:v>
                </c:pt>
                <c:pt idx="4">
                  <c:v>500万元（不含）-700万元（含）</c:v>
                </c:pt>
                <c:pt idx="5">
                  <c:v>700万元（不含）以上</c:v>
                </c:pt>
              </c:strCache>
            </c:strRef>
          </c:cat>
          <c:val>
            <c:numRef>
              <c:f>Distributions!$AK$21:$AK$27</c:f>
              <c:numCache>
                <c:formatCode>0.00%</c:formatCode>
                <c:ptCount val="6"/>
                <c:pt idx="0">
                  <c:v>0.98224957694587045</c:v>
                </c:pt>
                <c:pt idx="1">
                  <c:v>1.2841567121018471E-2</c:v>
                </c:pt>
                <c:pt idx="2">
                  <c:v>3.927084746488829E-3</c:v>
                </c:pt>
                <c:pt idx="3">
                  <c:v>2.7846600929648063E-4</c:v>
                </c:pt>
                <c:pt idx="4">
                  <c:v>1.2138261943692745E-4</c:v>
                </c:pt>
                <c:pt idx="5">
                  <c:v>5.8192255788879919E-4</c:v>
                </c:pt>
              </c:numCache>
            </c:numRef>
          </c:val>
        </c:ser>
        <c:ser>
          <c:idx val="4"/>
          <c:order val="4"/>
          <c:tx>
            <c:strRef>
              <c:f>Distributions!$AL$20</c:f>
              <c:strCache>
                <c:ptCount val="1"/>
                <c:pt idx="0">
                  <c:v>合同金额</c:v>
                </c:pt>
              </c:strCache>
            </c:strRef>
          </c:tx>
          <c:spPr>
            <a:solidFill>
              <a:schemeClr val="accent5"/>
            </a:solidFill>
            <a:ln>
              <a:noFill/>
            </a:ln>
            <a:effectLst/>
          </c:spPr>
          <c:invertIfNegative val="0"/>
          <c:cat>
            <c:strRef>
              <c:f>Distributions!$AG$21:$AG$27</c:f>
              <c:strCache>
                <c:ptCount val="6"/>
                <c:pt idx="0">
                  <c:v>50万元以内（含）</c:v>
                </c:pt>
                <c:pt idx="1">
                  <c:v>50万元（不含）-100万元（含）</c:v>
                </c:pt>
                <c:pt idx="2">
                  <c:v>100万元（不含）-300万元（含）</c:v>
                </c:pt>
                <c:pt idx="3">
                  <c:v>300万元（不含）-500万元（含）</c:v>
                </c:pt>
                <c:pt idx="4">
                  <c:v>500万元（不含）-700万元（含）</c:v>
                </c:pt>
                <c:pt idx="5">
                  <c:v>700万元（不含）以上</c:v>
                </c:pt>
              </c:strCache>
            </c:strRef>
          </c:cat>
          <c:val>
            <c:numRef>
              <c:f>Distributions!$AL$21:$AL$27</c:f>
              <c:numCache>
                <c:formatCode>"¥"#,##0.00</c:formatCode>
                <c:ptCount val="6"/>
                <c:pt idx="0">
                  <c:v>33248194121</c:v>
                </c:pt>
                <c:pt idx="1">
                  <c:v>2427324280</c:v>
                </c:pt>
                <c:pt idx="2">
                  <c:v>1941605038</c:v>
                </c:pt>
                <c:pt idx="3">
                  <c:v>369852000</c:v>
                </c:pt>
                <c:pt idx="4">
                  <c:v>231104000</c:v>
                </c:pt>
                <c:pt idx="5">
                  <c:v>4381410000</c:v>
                </c:pt>
              </c:numCache>
            </c:numRef>
          </c:val>
        </c:ser>
        <c:ser>
          <c:idx val="5"/>
          <c:order val="5"/>
          <c:tx>
            <c:strRef>
              <c:f>Distributions!$AM$20</c:f>
              <c:strCache>
                <c:ptCount val="1"/>
                <c:pt idx="0">
                  <c:v>合同金额占比</c:v>
                </c:pt>
              </c:strCache>
            </c:strRef>
          </c:tx>
          <c:spPr>
            <a:solidFill>
              <a:schemeClr val="accent6"/>
            </a:solidFill>
            <a:ln>
              <a:noFill/>
            </a:ln>
            <a:effectLst/>
          </c:spPr>
          <c:invertIfNegative val="0"/>
          <c:cat>
            <c:strRef>
              <c:f>Distributions!$AG$21:$AG$27</c:f>
              <c:strCache>
                <c:ptCount val="6"/>
                <c:pt idx="0">
                  <c:v>50万元以内（含）</c:v>
                </c:pt>
                <c:pt idx="1">
                  <c:v>50万元（不含）-100万元（含）</c:v>
                </c:pt>
                <c:pt idx="2">
                  <c:v>100万元（不含）-300万元（含）</c:v>
                </c:pt>
                <c:pt idx="3">
                  <c:v>300万元（不含）-500万元（含）</c:v>
                </c:pt>
                <c:pt idx="4">
                  <c:v>500万元（不含）-700万元（含）</c:v>
                </c:pt>
                <c:pt idx="5">
                  <c:v>700万元（不含）以上</c:v>
                </c:pt>
              </c:strCache>
            </c:strRef>
          </c:cat>
          <c:val>
            <c:numRef>
              <c:f>Distributions!$AM$21:$AM$27</c:f>
              <c:numCache>
                <c:formatCode>0.00%</c:formatCode>
                <c:ptCount val="6"/>
                <c:pt idx="0">
                  <c:v>0.780483394492544</c:v>
                </c:pt>
                <c:pt idx="1">
                  <c:v>5.6980126099299561E-2</c:v>
                </c:pt>
                <c:pt idx="2">
                  <c:v>4.5578129305522921E-2</c:v>
                </c:pt>
                <c:pt idx="3">
                  <c:v>8.6820758856654048E-3</c:v>
                </c:pt>
                <c:pt idx="4">
                  <c:v>5.4250415449445125E-3</c:v>
                </c:pt>
                <c:pt idx="5">
                  <c:v>0.10285123267202358</c:v>
                </c:pt>
              </c:numCache>
            </c:numRef>
          </c:val>
        </c:ser>
        <c:dLbls>
          <c:showLegendKey val="0"/>
          <c:showVal val="0"/>
          <c:showCatName val="0"/>
          <c:showSerName val="0"/>
          <c:showPercent val="0"/>
          <c:showBubbleSize val="0"/>
        </c:dLbls>
        <c:gapWidth val="219"/>
        <c:overlap val="-27"/>
        <c:axId val="247881568"/>
        <c:axId val="247890816"/>
      </c:barChart>
      <c:catAx>
        <c:axId val="24788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90816"/>
        <c:crosses val="autoZero"/>
        <c:auto val="1"/>
        <c:lblAlgn val="ctr"/>
        <c:lblOffset val="100"/>
        <c:noMultiLvlLbl val="0"/>
      </c:catAx>
      <c:valAx>
        <c:axId val="247890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81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[资产池日统计报表.xlsm]Distributions!ptDistInterestType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clustered"/>
        <c:varyColors val="0"/>
        <c:ser>
          <c:idx val="0"/>
          <c:order val="0"/>
          <c:tx>
            <c:strRef>
              <c:f>Distributions!$CL$20</c:f>
              <c:strCache>
                <c:ptCount val="1"/>
                <c:pt idx="0">
                  <c:v>本金余额</c:v>
                </c:pt>
              </c:strCache>
            </c:strRef>
          </c:tx>
          <c:spPr>
            <a:solidFill>
              <a:schemeClr val="accent1"/>
            </a:solidFill>
            <a:ln>
              <a:noFill/>
            </a:ln>
            <a:effectLst/>
          </c:spPr>
          <c:invertIfNegative val="0"/>
          <c:cat>
            <c:strRef>
              <c:f>Distributions!$CK$21:$CK$22</c:f>
              <c:strCache>
                <c:ptCount val="1"/>
              </c:strCache>
            </c:strRef>
          </c:cat>
          <c:val>
            <c:numRef>
              <c:f>Distributions!$CL$21:$CL$22</c:f>
              <c:numCache>
                <c:formatCode>[$¥-804]#,##0.00</c:formatCode>
                <c:ptCount val="1"/>
                <c:pt idx="0">
                  <c:v>25057705178.23019</c:v>
                </c:pt>
              </c:numCache>
            </c:numRef>
          </c:val>
        </c:ser>
        <c:ser>
          <c:idx val="1"/>
          <c:order val="1"/>
          <c:tx>
            <c:strRef>
              <c:f>Distributions!$CM$20</c:f>
              <c:strCache>
                <c:ptCount val="1"/>
                <c:pt idx="0">
                  <c:v>本金余额占比</c:v>
                </c:pt>
              </c:strCache>
            </c:strRef>
          </c:tx>
          <c:spPr>
            <a:solidFill>
              <a:schemeClr val="accent2"/>
            </a:solidFill>
            <a:ln>
              <a:noFill/>
            </a:ln>
            <a:effectLst/>
          </c:spPr>
          <c:invertIfNegative val="0"/>
          <c:cat>
            <c:strRef>
              <c:f>Distributions!$CK$21:$CK$22</c:f>
              <c:strCache>
                <c:ptCount val="1"/>
              </c:strCache>
            </c:strRef>
          </c:cat>
          <c:val>
            <c:numRef>
              <c:f>Distributions!$CM$21:$CM$22</c:f>
              <c:numCache>
                <c:formatCode>0.00%</c:formatCode>
                <c:ptCount val="1"/>
                <c:pt idx="0">
                  <c:v>1.0000000000000131</c:v>
                </c:pt>
              </c:numCache>
            </c:numRef>
          </c:val>
        </c:ser>
        <c:ser>
          <c:idx val="2"/>
          <c:order val="2"/>
          <c:tx>
            <c:strRef>
              <c:f>Distributions!$CN$20</c:f>
              <c:strCache>
                <c:ptCount val="1"/>
                <c:pt idx="0">
                  <c:v>贷款笔数</c:v>
                </c:pt>
              </c:strCache>
            </c:strRef>
          </c:tx>
          <c:spPr>
            <a:solidFill>
              <a:schemeClr val="accent3"/>
            </a:solidFill>
            <a:ln>
              <a:noFill/>
            </a:ln>
            <a:effectLst/>
          </c:spPr>
          <c:invertIfNegative val="0"/>
          <c:cat>
            <c:strRef>
              <c:f>Distributions!$CK$21:$CK$22</c:f>
              <c:strCache>
                <c:ptCount val="1"/>
              </c:strCache>
            </c:strRef>
          </c:cat>
          <c:val>
            <c:numRef>
              <c:f>Distributions!$CN$21:$CN$22</c:f>
              <c:numCache>
                <c:formatCode>#,##0;\-#,##0</c:formatCode>
                <c:ptCount val="1"/>
                <c:pt idx="0">
                  <c:v>280106</c:v>
                </c:pt>
              </c:numCache>
            </c:numRef>
          </c:val>
        </c:ser>
        <c:ser>
          <c:idx val="3"/>
          <c:order val="3"/>
          <c:tx>
            <c:strRef>
              <c:f>Distributions!$CO$20</c:f>
              <c:strCache>
                <c:ptCount val="1"/>
                <c:pt idx="0">
                  <c:v>贷款笔数占比</c:v>
                </c:pt>
              </c:strCache>
            </c:strRef>
          </c:tx>
          <c:spPr>
            <a:solidFill>
              <a:schemeClr val="accent4"/>
            </a:solidFill>
            <a:ln>
              <a:noFill/>
            </a:ln>
            <a:effectLst/>
          </c:spPr>
          <c:invertIfNegative val="0"/>
          <c:cat>
            <c:strRef>
              <c:f>Distributions!$CK$21:$CK$22</c:f>
              <c:strCache>
                <c:ptCount val="1"/>
              </c:strCache>
            </c:strRef>
          </c:cat>
          <c:val>
            <c:numRef>
              <c:f>Distributions!$CO$21:$CO$22</c:f>
              <c:numCache>
                <c:formatCode>0.00%</c:formatCode>
                <c:ptCount val="1"/>
                <c:pt idx="0">
                  <c:v>1</c:v>
                </c:pt>
              </c:numCache>
            </c:numRef>
          </c:val>
        </c:ser>
        <c:ser>
          <c:idx val="4"/>
          <c:order val="4"/>
          <c:tx>
            <c:strRef>
              <c:f>Distributions!$CP$20</c:f>
              <c:strCache>
                <c:ptCount val="1"/>
                <c:pt idx="0">
                  <c:v>合同金额</c:v>
                </c:pt>
              </c:strCache>
            </c:strRef>
          </c:tx>
          <c:spPr>
            <a:solidFill>
              <a:schemeClr val="accent5"/>
            </a:solidFill>
            <a:ln>
              <a:noFill/>
            </a:ln>
            <a:effectLst/>
          </c:spPr>
          <c:invertIfNegative val="0"/>
          <c:cat>
            <c:strRef>
              <c:f>Distributions!$CK$21:$CK$22</c:f>
              <c:strCache>
                <c:ptCount val="1"/>
              </c:strCache>
            </c:strRef>
          </c:cat>
          <c:val>
            <c:numRef>
              <c:f>Distributions!$CP$21:$CP$22</c:f>
              <c:numCache>
                <c:formatCode>"¥"#,##0.00</c:formatCode>
                <c:ptCount val="1"/>
                <c:pt idx="0">
                  <c:v>42599489439</c:v>
                </c:pt>
              </c:numCache>
            </c:numRef>
          </c:val>
        </c:ser>
        <c:ser>
          <c:idx val="5"/>
          <c:order val="5"/>
          <c:tx>
            <c:strRef>
              <c:f>Distributions!$CQ$20</c:f>
              <c:strCache>
                <c:ptCount val="1"/>
                <c:pt idx="0">
                  <c:v>合同金额占比</c:v>
                </c:pt>
              </c:strCache>
            </c:strRef>
          </c:tx>
          <c:spPr>
            <a:solidFill>
              <a:schemeClr val="accent6"/>
            </a:solidFill>
            <a:ln>
              <a:noFill/>
            </a:ln>
            <a:effectLst/>
          </c:spPr>
          <c:invertIfNegative val="0"/>
          <c:cat>
            <c:strRef>
              <c:f>Distributions!$CK$21:$CK$22</c:f>
              <c:strCache>
                <c:ptCount val="1"/>
              </c:strCache>
            </c:strRef>
          </c:cat>
          <c:val>
            <c:numRef>
              <c:f>Distributions!$CQ$21:$CQ$22</c:f>
              <c:numCache>
                <c:formatCode>0.00%</c:formatCode>
                <c:ptCount val="1"/>
                <c:pt idx="0">
                  <c:v>1</c:v>
                </c:pt>
              </c:numCache>
            </c:numRef>
          </c:val>
        </c:ser>
        <c:dLbls>
          <c:showLegendKey val="0"/>
          <c:showVal val="0"/>
          <c:showCatName val="0"/>
          <c:showSerName val="0"/>
          <c:showPercent val="0"/>
          <c:showBubbleSize val="0"/>
        </c:dLbls>
        <c:gapWidth val="219"/>
        <c:overlap val="-27"/>
        <c:axId val="247890272"/>
        <c:axId val="249178384"/>
      </c:barChart>
      <c:catAx>
        <c:axId val="24789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78384"/>
        <c:crosses val="autoZero"/>
        <c:auto val="1"/>
        <c:lblAlgn val="ctr"/>
        <c:lblOffset val="100"/>
        <c:noMultiLvlLbl val="0"/>
      </c:catAx>
      <c:valAx>
        <c:axId val="2491783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890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[资产池日统计报表.xlsm]Distributions!ptDistFiveClass</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clustered"/>
        <c:varyColors val="0"/>
        <c:ser>
          <c:idx val="0"/>
          <c:order val="0"/>
          <c:tx>
            <c:strRef>
              <c:f>Distributions!$DR$20</c:f>
              <c:strCache>
                <c:ptCount val="1"/>
                <c:pt idx="0">
                  <c:v>本金余额</c:v>
                </c:pt>
              </c:strCache>
            </c:strRef>
          </c:tx>
          <c:spPr>
            <a:solidFill>
              <a:schemeClr val="accent1"/>
            </a:solidFill>
            <a:ln>
              <a:noFill/>
            </a:ln>
            <a:effectLst/>
          </c:spPr>
          <c:invertIfNegative val="0"/>
          <c:cat>
            <c:strRef>
              <c:f>Distributions!$DQ$21:$DQ$27</c:f>
              <c:strCache>
                <c:ptCount val="6"/>
                <c:pt idx="1">
                  <c:v>关注</c:v>
                </c:pt>
                <c:pt idx="2">
                  <c:v>可疑</c:v>
                </c:pt>
                <c:pt idx="3">
                  <c:v>损失</c:v>
                </c:pt>
                <c:pt idx="4">
                  <c:v>次级</c:v>
                </c:pt>
                <c:pt idx="5">
                  <c:v>正常</c:v>
                </c:pt>
              </c:strCache>
            </c:strRef>
          </c:cat>
          <c:val>
            <c:numRef>
              <c:f>Distributions!$DR$21:$DR$27</c:f>
              <c:numCache>
                <c:formatCode>[$¥-804]#,##0.00</c:formatCode>
                <c:ptCount val="6"/>
                <c:pt idx="0">
                  <c:v>6301898324.3600035</c:v>
                </c:pt>
                <c:pt idx="1">
                  <c:v>429931859.61000055</c:v>
                </c:pt>
                <c:pt idx="2">
                  <c:v>132142815.12999998</c:v>
                </c:pt>
                <c:pt idx="3">
                  <c:v>75363932.909999996</c:v>
                </c:pt>
                <c:pt idx="4">
                  <c:v>67653873.420000002</c:v>
                </c:pt>
                <c:pt idx="5">
                  <c:v>18050714372.800098</c:v>
                </c:pt>
              </c:numCache>
            </c:numRef>
          </c:val>
        </c:ser>
        <c:ser>
          <c:idx val="1"/>
          <c:order val="1"/>
          <c:tx>
            <c:strRef>
              <c:f>Distributions!$DS$20</c:f>
              <c:strCache>
                <c:ptCount val="1"/>
                <c:pt idx="0">
                  <c:v>本金余额占比</c:v>
                </c:pt>
              </c:strCache>
            </c:strRef>
          </c:tx>
          <c:spPr>
            <a:solidFill>
              <a:schemeClr val="accent2"/>
            </a:solidFill>
            <a:ln>
              <a:noFill/>
            </a:ln>
            <a:effectLst/>
          </c:spPr>
          <c:invertIfNegative val="0"/>
          <c:cat>
            <c:strRef>
              <c:f>Distributions!$DQ$21:$DQ$27</c:f>
              <c:strCache>
                <c:ptCount val="6"/>
                <c:pt idx="1">
                  <c:v>关注</c:v>
                </c:pt>
                <c:pt idx="2">
                  <c:v>可疑</c:v>
                </c:pt>
                <c:pt idx="3">
                  <c:v>损失</c:v>
                </c:pt>
                <c:pt idx="4">
                  <c:v>次级</c:v>
                </c:pt>
                <c:pt idx="5">
                  <c:v>正常</c:v>
                </c:pt>
              </c:strCache>
            </c:strRef>
          </c:cat>
          <c:val>
            <c:numRef>
              <c:f>Distributions!$DS$21:$DS$27</c:f>
              <c:numCache>
                <c:formatCode>0.00%</c:formatCode>
                <c:ptCount val="6"/>
                <c:pt idx="0">
                  <c:v>0.25149542943122716</c:v>
                </c:pt>
                <c:pt idx="1">
                  <c:v>1.7157670926048144E-2</c:v>
                </c:pt>
                <c:pt idx="2">
                  <c:v>5.2735401821554541E-3</c:v>
                </c:pt>
                <c:pt idx="3">
                  <c:v>3.0076151177433515E-3</c:v>
                </c:pt>
                <c:pt idx="4">
                  <c:v>2.6999229553861018E-3</c:v>
                </c:pt>
                <c:pt idx="5">
                  <c:v>0.72036582138744942</c:v>
                </c:pt>
              </c:numCache>
            </c:numRef>
          </c:val>
        </c:ser>
        <c:ser>
          <c:idx val="2"/>
          <c:order val="2"/>
          <c:tx>
            <c:strRef>
              <c:f>Distributions!$DT$20</c:f>
              <c:strCache>
                <c:ptCount val="1"/>
                <c:pt idx="0">
                  <c:v>贷款笔数</c:v>
                </c:pt>
              </c:strCache>
            </c:strRef>
          </c:tx>
          <c:spPr>
            <a:solidFill>
              <a:schemeClr val="accent3"/>
            </a:solidFill>
            <a:ln>
              <a:noFill/>
            </a:ln>
            <a:effectLst/>
          </c:spPr>
          <c:invertIfNegative val="0"/>
          <c:cat>
            <c:strRef>
              <c:f>Distributions!$DQ$21:$DQ$27</c:f>
              <c:strCache>
                <c:ptCount val="6"/>
                <c:pt idx="1">
                  <c:v>关注</c:v>
                </c:pt>
                <c:pt idx="2">
                  <c:v>可疑</c:v>
                </c:pt>
                <c:pt idx="3">
                  <c:v>损失</c:v>
                </c:pt>
                <c:pt idx="4">
                  <c:v>次级</c:v>
                </c:pt>
                <c:pt idx="5">
                  <c:v>正常</c:v>
                </c:pt>
              </c:strCache>
            </c:strRef>
          </c:cat>
          <c:val>
            <c:numRef>
              <c:f>Distributions!$DT$21:$DT$27</c:f>
              <c:numCache>
                <c:formatCode>#,##0;\-#,##0</c:formatCode>
                <c:ptCount val="6"/>
                <c:pt idx="0">
                  <c:v>17852</c:v>
                </c:pt>
                <c:pt idx="1">
                  <c:v>3655</c:v>
                </c:pt>
                <c:pt idx="2">
                  <c:v>60</c:v>
                </c:pt>
                <c:pt idx="3">
                  <c:v>8</c:v>
                </c:pt>
                <c:pt idx="4">
                  <c:v>83</c:v>
                </c:pt>
                <c:pt idx="5">
                  <c:v>258448</c:v>
                </c:pt>
              </c:numCache>
            </c:numRef>
          </c:val>
        </c:ser>
        <c:ser>
          <c:idx val="3"/>
          <c:order val="3"/>
          <c:tx>
            <c:strRef>
              <c:f>Distributions!$DU$20</c:f>
              <c:strCache>
                <c:ptCount val="1"/>
                <c:pt idx="0">
                  <c:v>贷款笔数占比</c:v>
                </c:pt>
              </c:strCache>
            </c:strRef>
          </c:tx>
          <c:spPr>
            <a:solidFill>
              <a:schemeClr val="accent4"/>
            </a:solidFill>
            <a:ln>
              <a:noFill/>
            </a:ln>
            <a:effectLst/>
          </c:spPr>
          <c:invertIfNegative val="0"/>
          <c:cat>
            <c:strRef>
              <c:f>Distributions!$DQ$21:$DQ$27</c:f>
              <c:strCache>
                <c:ptCount val="6"/>
                <c:pt idx="1">
                  <c:v>关注</c:v>
                </c:pt>
                <c:pt idx="2">
                  <c:v>可疑</c:v>
                </c:pt>
                <c:pt idx="3">
                  <c:v>损失</c:v>
                </c:pt>
                <c:pt idx="4">
                  <c:v>次级</c:v>
                </c:pt>
                <c:pt idx="5">
                  <c:v>正常</c:v>
                </c:pt>
              </c:strCache>
            </c:strRef>
          </c:cat>
          <c:val>
            <c:numRef>
              <c:f>Distributions!$DU$21:$DU$27</c:f>
              <c:numCache>
                <c:formatCode>0.00%</c:formatCode>
                <c:ptCount val="6"/>
                <c:pt idx="0">
                  <c:v>6.3733015358471437E-2</c:v>
                </c:pt>
                <c:pt idx="1">
                  <c:v>1.30486315894697E-2</c:v>
                </c:pt>
                <c:pt idx="2">
                  <c:v>2.1420462253575432E-4</c:v>
                </c:pt>
                <c:pt idx="3">
                  <c:v>2.8560616338100576E-5</c:v>
                </c:pt>
                <c:pt idx="4">
                  <c:v>2.9631639450779349E-4</c:v>
                </c:pt>
                <c:pt idx="5">
                  <c:v>0.92267927141867723</c:v>
                </c:pt>
              </c:numCache>
            </c:numRef>
          </c:val>
        </c:ser>
        <c:ser>
          <c:idx val="4"/>
          <c:order val="4"/>
          <c:tx>
            <c:strRef>
              <c:f>Distributions!$DV$20</c:f>
              <c:strCache>
                <c:ptCount val="1"/>
                <c:pt idx="0">
                  <c:v>合同金额</c:v>
                </c:pt>
              </c:strCache>
            </c:strRef>
          </c:tx>
          <c:spPr>
            <a:solidFill>
              <a:schemeClr val="accent5"/>
            </a:solidFill>
            <a:ln>
              <a:noFill/>
            </a:ln>
            <a:effectLst/>
          </c:spPr>
          <c:invertIfNegative val="0"/>
          <c:cat>
            <c:strRef>
              <c:f>Distributions!$DQ$21:$DQ$27</c:f>
              <c:strCache>
                <c:ptCount val="6"/>
                <c:pt idx="1">
                  <c:v>关注</c:v>
                </c:pt>
                <c:pt idx="2">
                  <c:v>可疑</c:v>
                </c:pt>
                <c:pt idx="3">
                  <c:v>损失</c:v>
                </c:pt>
                <c:pt idx="4">
                  <c:v>次级</c:v>
                </c:pt>
                <c:pt idx="5">
                  <c:v>正常</c:v>
                </c:pt>
              </c:strCache>
            </c:strRef>
          </c:cat>
          <c:val>
            <c:numRef>
              <c:f>Distributions!$DV$21:$DV$27</c:f>
              <c:numCache>
                <c:formatCode>"¥"#,##0.00</c:formatCode>
                <c:ptCount val="6"/>
                <c:pt idx="0">
                  <c:v>8312772838</c:v>
                </c:pt>
                <c:pt idx="1">
                  <c:v>691378820</c:v>
                </c:pt>
                <c:pt idx="2">
                  <c:v>136276000</c:v>
                </c:pt>
                <c:pt idx="3">
                  <c:v>114730000</c:v>
                </c:pt>
                <c:pt idx="4">
                  <c:v>76569400</c:v>
                </c:pt>
                <c:pt idx="5">
                  <c:v>33267762381</c:v>
                </c:pt>
              </c:numCache>
            </c:numRef>
          </c:val>
        </c:ser>
        <c:ser>
          <c:idx val="5"/>
          <c:order val="5"/>
          <c:tx>
            <c:strRef>
              <c:f>Distributions!$DW$20</c:f>
              <c:strCache>
                <c:ptCount val="1"/>
                <c:pt idx="0">
                  <c:v>合同金额占比</c:v>
                </c:pt>
              </c:strCache>
            </c:strRef>
          </c:tx>
          <c:spPr>
            <a:solidFill>
              <a:schemeClr val="accent6"/>
            </a:solidFill>
            <a:ln>
              <a:noFill/>
            </a:ln>
            <a:effectLst/>
          </c:spPr>
          <c:invertIfNegative val="0"/>
          <c:cat>
            <c:strRef>
              <c:f>Distributions!$DQ$21:$DQ$27</c:f>
              <c:strCache>
                <c:ptCount val="6"/>
                <c:pt idx="1">
                  <c:v>关注</c:v>
                </c:pt>
                <c:pt idx="2">
                  <c:v>可疑</c:v>
                </c:pt>
                <c:pt idx="3">
                  <c:v>损失</c:v>
                </c:pt>
                <c:pt idx="4">
                  <c:v>次级</c:v>
                </c:pt>
                <c:pt idx="5">
                  <c:v>正常</c:v>
                </c:pt>
              </c:strCache>
            </c:strRef>
          </c:cat>
          <c:val>
            <c:numRef>
              <c:f>Distributions!$DW$21:$DW$27</c:f>
              <c:numCache>
                <c:formatCode>0.00%</c:formatCode>
                <c:ptCount val="6"/>
                <c:pt idx="0">
                  <c:v>0.1951378513562565</c:v>
                </c:pt>
                <c:pt idx="1">
                  <c:v>1.6229744278743397E-2</c:v>
                </c:pt>
                <c:pt idx="2">
                  <c:v>3.1990054762308672E-3</c:v>
                </c:pt>
                <c:pt idx="3">
                  <c:v>2.6932247665617378E-3</c:v>
                </c:pt>
                <c:pt idx="4">
                  <c:v>1.7974252980107414E-3</c:v>
                </c:pt>
                <c:pt idx="5">
                  <c:v>0.78094274882419679</c:v>
                </c:pt>
              </c:numCache>
            </c:numRef>
          </c:val>
        </c:ser>
        <c:dLbls>
          <c:showLegendKey val="0"/>
          <c:showVal val="0"/>
          <c:showCatName val="0"/>
          <c:showSerName val="0"/>
          <c:showPercent val="0"/>
          <c:showBubbleSize val="0"/>
        </c:dLbls>
        <c:gapWidth val="219"/>
        <c:overlap val="-27"/>
        <c:axId val="249176208"/>
        <c:axId val="249190352"/>
      </c:barChart>
      <c:catAx>
        <c:axId val="24917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90352"/>
        <c:crosses val="autoZero"/>
        <c:auto val="1"/>
        <c:lblAlgn val="ctr"/>
        <c:lblOffset val="100"/>
        <c:noMultiLvlLbl val="0"/>
      </c:catAx>
      <c:valAx>
        <c:axId val="24919035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76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[资产池日统计报表.xlsm]Distributions!ptDistLTV</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clustered"/>
        <c:varyColors val="0"/>
        <c:ser>
          <c:idx val="0"/>
          <c:order val="0"/>
          <c:tx>
            <c:strRef>
              <c:f>Distributions!$DZ$20</c:f>
              <c:strCache>
                <c:ptCount val="1"/>
                <c:pt idx="0">
                  <c:v>本金余额</c:v>
                </c:pt>
              </c:strCache>
            </c:strRef>
          </c:tx>
          <c:spPr>
            <a:solidFill>
              <a:schemeClr val="accent1"/>
            </a:solidFill>
            <a:ln>
              <a:noFill/>
            </a:ln>
            <a:effectLst/>
          </c:spPr>
          <c:invertIfNegative val="0"/>
          <c:cat>
            <c:strRef>
              <c:f>Distributions!$DY$21:$DY$31</c:f>
              <c:strCache>
                <c:ptCount val="10"/>
                <c:pt idx="0">
                  <c:v>未知</c:v>
                </c:pt>
                <c:pt idx="1">
                  <c:v>小于等于 0.1</c:v>
                </c:pt>
                <c:pt idx="2">
                  <c:v>0.1-0.2(含)</c:v>
                </c:pt>
                <c:pt idx="3">
                  <c:v>0.2-0.3(含)</c:v>
                </c:pt>
                <c:pt idx="4">
                  <c:v>0.3-0.4(含)</c:v>
                </c:pt>
                <c:pt idx="5">
                  <c:v>0.4-0.5(含)</c:v>
                </c:pt>
                <c:pt idx="6">
                  <c:v>0.5-0.6(含)</c:v>
                </c:pt>
                <c:pt idx="7">
                  <c:v>0.6-0.7(含)</c:v>
                </c:pt>
                <c:pt idx="8">
                  <c:v>0.7-0.8(含)</c:v>
                </c:pt>
                <c:pt idx="9">
                  <c:v>0.9-1.0(含)</c:v>
                </c:pt>
              </c:strCache>
            </c:strRef>
          </c:cat>
          <c:val>
            <c:numRef>
              <c:f>Distributions!$DZ$21:$DZ$31</c:f>
              <c:numCache>
                <c:formatCode>[$¥-804]#,##0.00</c:formatCode>
                <c:ptCount val="10"/>
                <c:pt idx="0">
                  <c:v>4125400000</c:v>
                </c:pt>
                <c:pt idx="1">
                  <c:v>9574993302.4599361</c:v>
                </c:pt>
                <c:pt idx="2">
                  <c:v>295255902.69000024</c:v>
                </c:pt>
                <c:pt idx="3">
                  <c:v>674910858.51000118</c:v>
                </c:pt>
                <c:pt idx="4">
                  <c:v>1267033541.6400018</c:v>
                </c:pt>
                <c:pt idx="5">
                  <c:v>1770802697.2200053</c:v>
                </c:pt>
                <c:pt idx="6">
                  <c:v>975562234.13999951</c:v>
                </c:pt>
                <c:pt idx="7">
                  <c:v>68033629.710000008</c:v>
                </c:pt>
                <c:pt idx="8">
                  <c:v>3814687.5</c:v>
                </c:pt>
                <c:pt idx="9">
                  <c:v>6301898324.3600035</c:v>
                </c:pt>
              </c:numCache>
            </c:numRef>
          </c:val>
        </c:ser>
        <c:ser>
          <c:idx val="1"/>
          <c:order val="1"/>
          <c:tx>
            <c:strRef>
              <c:f>Distributions!$EA$20</c:f>
              <c:strCache>
                <c:ptCount val="1"/>
                <c:pt idx="0">
                  <c:v>本金余额占比</c:v>
                </c:pt>
              </c:strCache>
            </c:strRef>
          </c:tx>
          <c:spPr>
            <a:solidFill>
              <a:schemeClr val="accent2"/>
            </a:solidFill>
            <a:ln>
              <a:noFill/>
            </a:ln>
            <a:effectLst/>
          </c:spPr>
          <c:invertIfNegative val="0"/>
          <c:cat>
            <c:strRef>
              <c:f>Distributions!$DY$21:$DY$31</c:f>
              <c:strCache>
                <c:ptCount val="10"/>
                <c:pt idx="0">
                  <c:v>未知</c:v>
                </c:pt>
                <c:pt idx="1">
                  <c:v>小于等于 0.1</c:v>
                </c:pt>
                <c:pt idx="2">
                  <c:v>0.1-0.2(含)</c:v>
                </c:pt>
                <c:pt idx="3">
                  <c:v>0.2-0.3(含)</c:v>
                </c:pt>
                <c:pt idx="4">
                  <c:v>0.3-0.4(含)</c:v>
                </c:pt>
                <c:pt idx="5">
                  <c:v>0.4-0.5(含)</c:v>
                </c:pt>
                <c:pt idx="6">
                  <c:v>0.5-0.6(含)</c:v>
                </c:pt>
                <c:pt idx="7">
                  <c:v>0.6-0.7(含)</c:v>
                </c:pt>
                <c:pt idx="8">
                  <c:v>0.7-0.8(含)</c:v>
                </c:pt>
                <c:pt idx="9">
                  <c:v>0.9-1.0(含)</c:v>
                </c:pt>
              </c:strCache>
            </c:strRef>
          </c:cat>
          <c:val>
            <c:numRef>
              <c:f>Distributions!$EA$21:$EA$31</c:f>
              <c:numCache>
                <c:formatCode>0.00%</c:formatCode>
                <c:ptCount val="10"/>
                <c:pt idx="0">
                  <c:v>0.16463598604329291</c:v>
                </c:pt>
                <c:pt idx="1">
                  <c:v>0.38211772524080506</c:v>
                </c:pt>
                <c:pt idx="2">
                  <c:v>1.1783038414328484E-2</c:v>
                </c:pt>
                <c:pt idx="3">
                  <c:v>2.6934264479109755E-2</c:v>
                </c:pt>
                <c:pt idx="4">
                  <c:v>5.0564628030694551E-2</c:v>
                </c:pt>
                <c:pt idx="5">
                  <c:v>7.0668989224060272E-2</c:v>
                </c:pt>
                <c:pt idx="6">
                  <c:v>3.8932624803470359E-2</c:v>
                </c:pt>
                <c:pt idx="7">
                  <c:v>2.7150782254836184E-3</c:v>
                </c:pt>
                <c:pt idx="8">
                  <c:v>1.5223610753127548E-4</c:v>
                </c:pt>
                <c:pt idx="9">
                  <c:v>0.25149542943122716</c:v>
                </c:pt>
              </c:numCache>
            </c:numRef>
          </c:val>
        </c:ser>
        <c:ser>
          <c:idx val="2"/>
          <c:order val="2"/>
          <c:tx>
            <c:strRef>
              <c:f>Distributions!$EB$20</c:f>
              <c:strCache>
                <c:ptCount val="1"/>
                <c:pt idx="0">
                  <c:v>贷款笔数</c:v>
                </c:pt>
              </c:strCache>
            </c:strRef>
          </c:tx>
          <c:spPr>
            <a:solidFill>
              <a:schemeClr val="accent3"/>
            </a:solidFill>
            <a:ln>
              <a:noFill/>
            </a:ln>
            <a:effectLst/>
          </c:spPr>
          <c:invertIfNegative val="0"/>
          <c:cat>
            <c:strRef>
              <c:f>Distributions!$DY$21:$DY$31</c:f>
              <c:strCache>
                <c:ptCount val="10"/>
                <c:pt idx="0">
                  <c:v>未知</c:v>
                </c:pt>
                <c:pt idx="1">
                  <c:v>小于等于 0.1</c:v>
                </c:pt>
                <c:pt idx="2">
                  <c:v>0.1-0.2(含)</c:v>
                </c:pt>
                <c:pt idx="3">
                  <c:v>0.2-0.3(含)</c:v>
                </c:pt>
                <c:pt idx="4">
                  <c:v>0.3-0.4(含)</c:v>
                </c:pt>
                <c:pt idx="5">
                  <c:v>0.4-0.5(含)</c:v>
                </c:pt>
                <c:pt idx="6">
                  <c:v>0.5-0.6(含)</c:v>
                </c:pt>
                <c:pt idx="7">
                  <c:v>0.6-0.7(含)</c:v>
                </c:pt>
                <c:pt idx="8">
                  <c:v>0.7-0.8(含)</c:v>
                </c:pt>
                <c:pt idx="9">
                  <c:v>0.9-1.0(含)</c:v>
                </c:pt>
              </c:strCache>
            </c:strRef>
          </c:cat>
          <c:val>
            <c:numRef>
              <c:f>Distributions!$EB$21:$EB$31</c:f>
              <c:numCache>
                <c:formatCode>#,##0;\-#,##0</c:formatCode>
                <c:ptCount val="10"/>
                <c:pt idx="0">
                  <c:v>143</c:v>
                </c:pt>
                <c:pt idx="1">
                  <c:v>189856</c:v>
                </c:pt>
                <c:pt idx="2">
                  <c:v>8328</c:v>
                </c:pt>
                <c:pt idx="3">
                  <c:v>12062</c:v>
                </c:pt>
                <c:pt idx="4">
                  <c:v>17706</c:v>
                </c:pt>
                <c:pt idx="5">
                  <c:v>22807</c:v>
                </c:pt>
                <c:pt idx="6">
                  <c:v>10476</c:v>
                </c:pt>
                <c:pt idx="7">
                  <c:v>846</c:v>
                </c:pt>
                <c:pt idx="8">
                  <c:v>30</c:v>
                </c:pt>
                <c:pt idx="9">
                  <c:v>17852</c:v>
                </c:pt>
              </c:numCache>
            </c:numRef>
          </c:val>
        </c:ser>
        <c:ser>
          <c:idx val="3"/>
          <c:order val="3"/>
          <c:tx>
            <c:strRef>
              <c:f>Distributions!$EC$20</c:f>
              <c:strCache>
                <c:ptCount val="1"/>
                <c:pt idx="0">
                  <c:v>贷款笔数占比</c:v>
                </c:pt>
              </c:strCache>
            </c:strRef>
          </c:tx>
          <c:spPr>
            <a:solidFill>
              <a:schemeClr val="accent4"/>
            </a:solidFill>
            <a:ln>
              <a:noFill/>
            </a:ln>
            <a:effectLst/>
          </c:spPr>
          <c:invertIfNegative val="0"/>
          <c:cat>
            <c:strRef>
              <c:f>Distributions!$DY$21:$DY$31</c:f>
              <c:strCache>
                <c:ptCount val="10"/>
                <c:pt idx="0">
                  <c:v>未知</c:v>
                </c:pt>
                <c:pt idx="1">
                  <c:v>小于等于 0.1</c:v>
                </c:pt>
                <c:pt idx="2">
                  <c:v>0.1-0.2(含)</c:v>
                </c:pt>
                <c:pt idx="3">
                  <c:v>0.2-0.3(含)</c:v>
                </c:pt>
                <c:pt idx="4">
                  <c:v>0.3-0.4(含)</c:v>
                </c:pt>
                <c:pt idx="5">
                  <c:v>0.4-0.5(含)</c:v>
                </c:pt>
                <c:pt idx="6">
                  <c:v>0.5-0.6(含)</c:v>
                </c:pt>
                <c:pt idx="7">
                  <c:v>0.6-0.7(含)</c:v>
                </c:pt>
                <c:pt idx="8">
                  <c:v>0.7-0.8(含)</c:v>
                </c:pt>
                <c:pt idx="9">
                  <c:v>0.9-1.0(含)</c:v>
                </c:pt>
              </c:strCache>
            </c:strRef>
          </c:cat>
          <c:val>
            <c:numRef>
              <c:f>Distributions!$EC$21:$EC$31</c:f>
              <c:numCache>
                <c:formatCode>0.00%</c:formatCode>
                <c:ptCount val="10"/>
                <c:pt idx="0">
                  <c:v>5.1052101704354778E-4</c:v>
                </c:pt>
                <c:pt idx="1">
                  <c:v>0.67780054693580283</c:v>
                </c:pt>
                <c:pt idx="2">
                  <c:v>2.9731601607962701E-2</c:v>
                </c:pt>
                <c:pt idx="3">
                  <c:v>4.3062269283771146E-2</c:v>
                </c:pt>
                <c:pt idx="4">
                  <c:v>6.3211784110301095E-2</c:v>
                </c:pt>
                <c:pt idx="5">
                  <c:v>8.1422747102882484E-2</c:v>
                </c:pt>
                <c:pt idx="6">
                  <c:v>3.7400127094742705E-2</c:v>
                </c:pt>
                <c:pt idx="7">
                  <c:v>3.0202851777541358E-3</c:v>
                </c:pt>
                <c:pt idx="8">
                  <c:v>1.0710231126787716E-4</c:v>
                </c:pt>
                <c:pt idx="9">
                  <c:v>6.3733015358471437E-2</c:v>
                </c:pt>
              </c:numCache>
            </c:numRef>
          </c:val>
        </c:ser>
        <c:ser>
          <c:idx val="4"/>
          <c:order val="4"/>
          <c:tx>
            <c:strRef>
              <c:f>Distributions!$ED$20</c:f>
              <c:strCache>
                <c:ptCount val="1"/>
                <c:pt idx="0">
                  <c:v>合同金额</c:v>
                </c:pt>
              </c:strCache>
            </c:strRef>
          </c:tx>
          <c:spPr>
            <a:solidFill>
              <a:schemeClr val="accent5"/>
            </a:solidFill>
            <a:ln>
              <a:noFill/>
            </a:ln>
            <a:effectLst/>
          </c:spPr>
          <c:invertIfNegative val="0"/>
          <c:cat>
            <c:strRef>
              <c:f>Distributions!$DY$21:$DY$31</c:f>
              <c:strCache>
                <c:ptCount val="10"/>
                <c:pt idx="0">
                  <c:v>未知</c:v>
                </c:pt>
                <c:pt idx="1">
                  <c:v>小于等于 0.1</c:v>
                </c:pt>
                <c:pt idx="2">
                  <c:v>0.1-0.2(含)</c:v>
                </c:pt>
                <c:pt idx="3">
                  <c:v>0.2-0.3(含)</c:v>
                </c:pt>
                <c:pt idx="4">
                  <c:v>0.3-0.4(含)</c:v>
                </c:pt>
                <c:pt idx="5">
                  <c:v>0.4-0.5(含)</c:v>
                </c:pt>
                <c:pt idx="6">
                  <c:v>0.5-0.6(含)</c:v>
                </c:pt>
                <c:pt idx="7">
                  <c:v>0.6-0.7(含)</c:v>
                </c:pt>
                <c:pt idx="8">
                  <c:v>0.7-0.8(含)</c:v>
                </c:pt>
                <c:pt idx="9">
                  <c:v>0.9-1.0(含)</c:v>
                </c:pt>
              </c:strCache>
            </c:strRef>
          </c:cat>
          <c:val>
            <c:numRef>
              <c:f>Distributions!$ED$21:$ED$31</c:f>
              <c:numCache>
                <c:formatCode>"¥"#,##0.00</c:formatCode>
                <c:ptCount val="10"/>
                <c:pt idx="0">
                  <c:v>4201000000</c:v>
                </c:pt>
                <c:pt idx="1">
                  <c:v>21016892135</c:v>
                </c:pt>
                <c:pt idx="2">
                  <c:v>1178752650</c:v>
                </c:pt>
                <c:pt idx="3">
                  <c:v>1577849013</c:v>
                </c:pt>
                <c:pt idx="4">
                  <c:v>2202373881</c:v>
                </c:pt>
                <c:pt idx="5">
                  <c:v>2716935926</c:v>
                </c:pt>
                <c:pt idx="6">
                  <c:v>1315581696</c:v>
                </c:pt>
                <c:pt idx="7">
                  <c:v>73330800</c:v>
                </c:pt>
                <c:pt idx="8">
                  <c:v>4000500</c:v>
                </c:pt>
                <c:pt idx="9">
                  <c:v>8312772838</c:v>
                </c:pt>
              </c:numCache>
            </c:numRef>
          </c:val>
        </c:ser>
        <c:ser>
          <c:idx val="5"/>
          <c:order val="5"/>
          <c:tx>
            <c:strRef>
              <c:f>Distributions!$EE$20</c:f>
              <c:strCache>
                <c:ptCount val="1"/>
                <c:pt idx="0">
                  <c:v>合同金额占比</c:v>
                </c:pt>
              </c:strCache>
            </c:strRef>
          </c:tx>
          <c:spPr>
            <a:solidFill>
              <a:schemeClr val="accent6"/>
            </a:solidFill>
            <a:ln>
              <a:noFill/>
            </a:ln>
            <a:effectLst/>
          </c:spPr>
          <c:invertIfNegative val="0"/>
          <c:cat>
            <c:strRef>
              <c:f>Distributions!$DY$21:$DY$31</c:f>
              <c:strCache>
                <c:ptCount val="10"/>
                <c:pt idx="0">
                  <c:v>未知</c:v>
                </c:pt>
                <c:pt idx="1">
                  <c:v>小于等于 0.1</c:v>
                </c:pt>
                <c:pt idx="2">
                  <c:v>0.1-0.2(含)</c:v>
                </c:pt>
                <c:pt idx="3">
                  <c:v>0.2-0.3(含)</c:v>
                </c:pt>
                <c:pt idx="4">
                  <c:v>0.3-0.4(含)</c:v>
                </c:pt>
                <c:pt idx="5">
                  <c:v>0.4-0.5(含)</c:v>
                </c:pt>
                <c:pt idx="6">
                  <c:v>0.5-0.6(含)</c:v>
                </c:pt>
                <c:pt idx="7">
                  <c:v>0.6-0.7(含)</c:v>
                </c:pt>
                <c:pt idx="8">
                  <c:v>0.7-0.8(含)</c:v>
                </c:pt>
                <c:pt idx="9">
                  <c:v>0.9-1.0(含)</c:v>
                </c:pt>
              </c:strCache>
            </c:strRef>
          </c:cat>
          <c:val>
            <c:numRef>
              <c:f>Distributions!$EE$21:$EE$31</c:f>
              <c:numCache>
                <c:formatCode>0.00%</c:formatCode>
                <c:ptCount val="10"/>
                <c:pt idx="0">
                  <c:v>9.8616205389399997E-2</c:v>
                </c:pt>
                <c:pt idx="1">
                  <c:v>0.49336018839134144</c:v>
                </c:pt>
                <c:pt idx="2">
                  <c:v>2.7670581631920859E-2</c:v>
                </c:pt>
                <c:pt idx="3">
                  <c:v>3.7039153139602488E-2</c:v>
                </c:pt>
                <c:pt idx="4">
                  <c:v>5.1699537013317302E-2</c:v>
                </c:pt>
                <c:pt idx="5">
                  <c:v>6.3778603025054906E-2</c:v>
                </c:pt>
                <c:pt idx="6">
                  <c:v>3.0882569564215947E-2</c:v>
                </c:pt>
                <c:pt idx="7">
                  <c:v>1.7214009126800794E-3</c:v>
                </c:pt>
                <c:pt idx="8">
                  <c:v>9.390957621049624E-5</c:v>
                </c:pt>
                <c:pt idx="9">
                  <c:v>0.1951378513562565</c:v>
                </c:pt>
              </c:numCache>
            </c:numRef>
          </c:val>
        </c:ser>
        <c:dLbls>
          <c:showLegendKey val="0"/>
          <c:showVal val="0"/>
          <c:showCatName val="0"/>
          <c:showSerName val="0"/>
          <c:showPercent val="0"/>
          <c:showBubbleSize val="0"/>
        </c:dLbls>
        <c:gapWidth val="219"/>
        <c:overlap val="-27"/>
        <c:axId val="249178928"/>
        <c:axId val="249181648"/>
      </c:barChart>
      <c:catAx>
        <c:axId val="249178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81648"/>
        <c:crosses val="autoZero"/>
        <c:auto val="1"/>
        <c:lblAlgn val="ctr"/>
        <c:lblOffset val="100"/>
        <c:noMultiLvlLbl val="0"/>
      </c:catAx>
      <c:valAx>
        <c:axId val="24918164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78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[资产池日统计报表.xlsm]Distributions!ptDistAutoBrand</c:name>
    <c:fmtId val="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clustered"/>
        <c:varyColors val="0"/>
        <c:ser>
          <c:idx val="0"/>
          <c:order val="0"/>
          <c:tx>
            <c:strRef>
              <c:f>Distributions!$EH$20</c:f>
              <c:strCache>
                <c:ptCount val="1"/>
                <c:pt idx="0">
                  <c:v>本金余额</c:v>
                </c:pt>
              </c:strCache>
            </c:strRef>
          </c:tx>
          <c:spPr>
            <a:solidFill>
              <a:schemeClr val="accent1"/>
            </a:solidFill>
            <a:ln>
              <a:noFill/>
            </a:ln>
            <a:effectLst/>
          </c:spPr>
          <c:invertIfNegative val="0"/>
          <c:cat>
            <c:strRef>
              <c:f>Distributions!$EG$21:$EG$114</c:f>
              <c:strCache>
                <c:ptCount val="93"/>
                <c:pt idx="1">
                  <c:v>674</c:v>
                </c:pt>
                <c:pt idx="2">
                  <c:v>DS</c:v>
                </c:pt>
                <c:pt idx="3">
                  <c:v>Jeep</c:v>
                </c:pt>
                <c:pt idx="4">
                  <c:v>MG</c:v>
                </c:pt>
                <c:pt idx="5">
                  <c:v>NULL</c:v>
                </c:pt>
                <c:pt idx="6">
                  <c:v>一汽丰田</c:v>
                </c:pt>
                <c:pt idx="7">
                  <c:v>一汽大众</c:v>
                </c:pt>
                <c:pt idx="8">
                  <c:v>一汽大众CC</c:v>
                </c:pt>
                <c:pt idx="9">
                  <c:v>一汽大众高尔夫</c:v>
                </c:pt>
                <c:pt idx="10">
                  <c:v>一汽奔腾</c:v>
                </c:pt>
                <c:pt idx="11">
                  <c:v>一汽奥迪</c:v>
                </c:pt>
                <c:pt idx="12">
                  <c:v>一汽奥迪二手车</c:v>
                </c:pt>
                <c:pt idx="13">
                  <c:v>一汽马自达</c:v>
                </c:pt>
                <c:pt idx="14">
                  <c:v>上海大众</c:v>
                </c:pt>
                <c:pt idx="15">
                  <c:v>上海大众朗行</c:v>
                </c:pt>
                <c:pt idx="16">
                  <c:v>上海汽车</c:v>
                </c:pt>
                <c:pt idx="17">
                  <c:v>东南三菱</c:v>
                </c:pt>
                <c:pt idx="18">
                  <c:v>东南汽车</c:v>
                </c:pt>
                <c:pt idx="19">
                  <c:v>东风悦达起亚</c:v>
                </c:pt>
                <c:pt idx="20">
                  <c:v>东风日产</c:v>
                </c:pt>
                <c:pt idx="21">
                  <c:v>东风本田</c:v>
                </c:pt>
                <c:pt idx="22">
                  <c:v>东风标致</c:v>
                </c:pt>
                <c:pt idx="23">
                  <c:v>东风裕隆</c:v>
                </c:pt>
                <c:pt idx="24">
                  <c:v>东风雪铁龙</c:v>
                </c:pt>
                <c:pt idx="25">
                  <c:v>东风风神</c:v>
                </c:pt>
                <c:pt idx="26">
                  <c:v>东风风行</c:v>
                </c:pt>
                <c:pt idx="27">
                  <c:v>众泰</c:v>
                </c:pt>
                <c:pt idx="28">
                  <c:v>传祺</c:v>
                </c:pt>
                <c:pt idx="29">
                  <c:v>保时捷</c:v>
                </c:pt>
                <c:pt idx="30">
                  <c:v>克莱斯勒</c:v>
                </c:pt>
                <c:pt idx="31">
                  <c:v>全球鹰</c:v>
                </c:pt>
                <c:pt idx="32">
                  <c:v>凯迪拉克</c:v>
                </c:pt>
                <c:pt idx="33">
                  <c:v>北京奔驰</c:v>
                </c:pt>
                <c:pt idx="34">
                  <c:v>北京汽车</c:v>
                </c:pt>
                <c:pt idx="35">
                  <c:v>北京现代</c:v>
                </c:pt>
                <c:pt idx="36">
                  <c:v>华晨中华</c:v>
                </c:pt>
                <c:pt idx="37">
                  <c:v>吉利</c:v>
                </c:pt>
                <c:pt idx="38">
                  <c:v>吉利全球鹰</c:v>
                </c:pt>
                <c:pt idx="39">
                  <c:v>启辰</c:v>
                </c:pt>
                <c:pt idx="40">
                  <c:v>奇瑞</c:v>
                </c:pt>
                <c:pt idx="41">
                  <c:v>宝马</c:v>
                </c:pt>
                <c:pt idx="42">
                  <c:v>帝豪</c:v>
                </c:pt>
                <c:pt idx="43">
                  <c:v>广汽三菱</c:v>
                </c:pt>
                <c:pt idx="44">
                  <c:v>广汽丰田</c:v>
                </c:pt>
                <c:pt idx="45">
                  <c:v>广汽传祺</c:v>
                </c:pt>
                <c:pt idx="46">
                  <c:v>广汽传祺GA3</c:v>
                </c:pt>
                <c:pt idx="47">
                  <c:v>广汽本田</c:v>
                </c:pt>
                <c:pt idx="48">
                  <c:v>广汽菲亚特</c:v>
                </c:pt>
                <c:pt idx="49">
                  <c:v>悦达起亚</c:v>
                </c:pt>
                <c:pt idx="50">
                  <c:v>捷豹</c:v>
                </c:pt>
                <c:pt idx="51">
                  <c:v>斯巴鲁</c:v>
                </c:pt>
                <c:pt idx="52">
                  <c:v>斯柯达</c:v>
                </c:pt>
                <c:pt idx="53">
                  <c:v>林肯</c:v>
                </c:pt>
                <c:pt idx="54">
                  <c:v>欧宝</c:v>
                </c:pt>
                <c:pt idx="55">
                  <c:v>比亚迪</c:v>
                </c:pt>
                <c:pt idx="56">
                  <c:v>江淮</c:v>
                </c:pt>
                <c:pt idx="57">
                  <c:v>江铃</c:v>
                </c:pt>
                <c:pt idx="58">
                  <c:v>沃尔沃</c:v>
                </c:pt>
                <c:pt idx="59">
                  <c:v>海南马自达</c:v>
                </c:pt>
                <c:pt idx="60">
                  <c:v>特斯拉</c:v>
                </c:pt>
                <c:pt idx="61">
                  <c:v>玛莎拉蒂</c:v>
                </c:pt>
                <c:pt idx="62">
                  <c:v>福特</c:v>
                </c:pt>
                <c:pt idx="63">
                  <c:v>科雷傲</c:v>
                </c:pt>
                <c:pt idx="64">
                  <c:v>纳智捷</c:v>
                </c:pt>
                <c:pt idx="65">
                  <c:v>英伦</c:v>
                </c:pt>
                <c:pt idx="66">
                  <c:v>英菲尼迪</c:v>
                </c:pt>
                <c:pt idx="67">
                  <c:v>荣威</c:v>
                </c:pt>
                <c:pt idx="68">
                  <c:v>菲亚特</c:v>
                </c:pt>
                <c:pt idx="69">
                  <c:v>观致</c:v>
                </c:pt>
                <c:pt idx="70">
                  <c:v>讴歌</c:v>
                </c:pt>
                <c:pt idx="71">
                  <c:v>路虎</c:v>
                </c:pt>
                <c:pt idx="72">
                  <c:v>进口三菱</c:v>
                </c:pt>
                <c:pt idx="73">
                  <c:v>进口丰田</c:v>
                </c:pt>
                <c:pt idx="74">
                  <c:v>进口大众</c:v>
                </c:pt>
                <c:pt idx="75">
                  <c:v>进口标致</c:v>
                </c:pt>
                <c:pt idx="76">
                  <c:v>进口现代</c:v>
                </c:pt>
                <c:pt idx="77">
                  <c:v>进口起亚</c:v>
                </c:pt>
                <c:pt idx="78">
                  <c:v>进口铃木</c:v>
                </c:pt>
                <c:pt idx="79">
                  <c:v>进口雪铁龙</c:v>
                </c:pt>
                <c:pt idx="80">
                  <c:v>进口马自达</c:v>
                </c:pt>
                <c:pt idx="81">
                  <c:v>通用别克</c:v>
                </c:pt>
                <c:pt idx="82">
                  <c:v>长城</c:v>
                </c:pt>
                <c:pt idx="83">
                  <c:v>长安</c:v>
                </c:pt>
                <c:pt idx="84">
                  <c:v>长安汽车</c:v>
                </c:pt>
                <c:pt idx="85">
                  <c:v>长安福特</c:v>
                </c:pt>
                <c:pt idx="86">
                  <c:v>长安铃木</c:v>
                </c:pt>
                <c:pt idx="87">
                  <c:v>长安马自达</c:v>
                </c:pt>
                <c:pt idx="88">
                  <c:v>雪佛兰</c:v>
                </c:pt>
                <c:pt idx="89">
                  <c:v>雪铁龙</c:v>
                </c:pt>
                <c:pt idx="90">
                  <c:v>雷克萨斯</c:v>
                </c:pt>
                <c:pt idx="91">
                  <c:v>雷诺</c:v>
                </c:pt>
                <c:pt idx="92">
                  <c:v>马自达</c:v>
                </c:pt>
              </c:strCache>
            </c:strRef>
          </c:cat>
          <c:val>
            <c:numRef>
              <c:f>Distributions!$EH$21:$EH$114</c:f>
              <c:numCache>
                <c:formatCode>[$¥-804]#,##0.00</c:formatCode>
                <c:ptCount val="93"/>
                <c:pt idx="0">
                  <c:v>10428063657.060003</c:v>
                </c:pt>
                <c:pt idx="1">
                  <c:v>135333.15000000002</c:v>
                </c:pt>
                <c:pt idx="2">
                  <c:v>262499.97000000003</c:v>
                </c:pt>
                <c:pt idx="3">
                  <c:v>195999.78</c:v>
                </c:pt>
                <c:pt idx="4">
                  <c:v>3406999.59</c:v>
                </c:pt>
                <c:pt idx="5">
                  <c:v>648889.08000000007</c:v>
                </c:pt>
                <c:pt idx="6">
                  <c:v>323281534.13999975</c:v>
                </c:pt>
                <c:pt idx="7">
                  <c:v>2470719354.8999896</c:v>
                </c:pt>
                <c:pt idx="8">
                  <c:v>271700.09999999998</c:v>
                </c:pt>
                <c:pt idx="9">
                  <c:v>1263067.3499999999</c:v>
                </c:pt>
                <c:pt idx="10">
                  <c:v>4994829.1500000004</c:v>
                </c:pt>
                <c:pt idx="11">
                  <c:v>3453371300.7100005</c:v>
                </c:pt>
                <c:pt idx="12">
                  <c:v>2742528.93</c:v>
                </c:pt>
                <c:pt idx="13">
                  <c:v>646916.69999999995</c:v>
                </c:pt>
                <c:pt idx="14">
                  <c:v>508647567.65999925</c:v>
                </c:pt>
                <c:pt idx="15">
                  <c:v>1261000.3199999998</c:v>
                </c:pt>
                <c:pt idx="16">
                  <c:v>4622249.6999999993</c:v>
                </c:pt>
                <c:pt idx="17">
                  <c:v>844783.41</c:v>
                </c:pt>
                <c:pt idx="18">
                  <c:v>6799184.2199999997</c:v>
                </c:pt>
                <c:pt idx="19">
                  <c:v>314193553.08000004</c:v>
                </c:pt>
                <c:pt idx="20">
                  <c:v>221446062.96000013</c:v>
                </c:pt>
                <c:pt idx="21">
                  <c:v>708379011.42000103</c:v>
                </c:pt>
                <c:pt idx="22">
                  <c:v>186812681.96999982</c:v>
                </c:pt>
                <c:pt idx="23">
                  <c:v>65646886.799999982</c:v>
                </c:pt>
                <c:pt idx="24">
                  <c:v>18486335.369999997</c:v>
                </c:pt>
                <c:pt idx="25">
                  <c:v>2876074.9199999995</c:v>
                </c:pt>
                <c:pt idx="26">
                  <c:v>299000.01</c:v>
                </c:pt>
                <c:pt idx="27">
                  <c:v>235749.99</c:v>
                </c:pt>
                <c:pt idx="28">
                  <c:v>118833.42</c:v>
                </c:pt>
                <c:pt idx="29">
                  <c:v>38366001.510000005</c:v>
                </c:pt>
                <c:pt idx="30">
                  <c:v>8731090.709999999</c:v>
                </c:pt>
                <c:pt idx="31">
                  <c:v>3312240.1799999997</c:v>
                </c:pt>
                <c:pt idx="32">
                  <c:v>410069715.2700001</c:v>
                </c:pt>
                <c:pt idx="33">
                  <c:v>73197736.230000004</c:v>
                </c:pt>
                <c:pt idx="34">
                  <c:v>95916.479999999996</c:v>
                </c:pt>
                <c:pt idx="35">
                  <c:v>909478154.06999874</c:v>
                </c:pt>
                <c:pt idx="36">
                  <c:v>563249.97</c:v>
                </c:pt>
                <c:pt idx="37">
                  <c:v>77896596.570000023</c:v>
                </c:pt>
                <c:pt idx="38">
                  <c:v>93499.86</c:v>
                </c:pt>
                <c:pt idx="39">
                  <c:v>1361916.8099999998</c:v>
                </c:pt>
                <c:pt idx="40">
                  <c:v>289750.05</c:v>
                </c:pt>
                <c:pt idx="41">
                  <c:v>47372259.05999998</c:v>
                </c:pt>
                <c:pt idx="42">
                  <c:v>17487796.170000002</c:v>
                </c:pt>
                <c:pt idx="43">
                  <c:v>12778197.119999999</c:v>
                </c:pt>
                <c:pt idx="44">
                  <c:v>253319936.4600001</c:v>
                </c:pt>
                <c:pt idx="45">
                  <c:v>12181891.379999999</c:v>
                </c:pt>
                <c:pt idx="46">
                  <c:v>113750.09999999999</c:v>
                </c:pt>
                <c:pt idx="47">
                  <c:v>817113903.62999988</c:v>
                </c:pt>
                <c:pt idx="48">
                  <c:v>2139374.61</c:v>
                </c:pt>
                <c:pt idx="49">
                  <c:v>260293821.30000004</c:v>
                </c:pt>
                <c:pt idx="50">
                  <c:v>31485791.279999997</c:v>
                </c:pt>
                <c:pt idx="51">
                  <c:v>84421777.559999958</c:v>
                </c:pt>
                <c:pt idx="52">
                  <c:v>71014380.209999993</c:v>
                </c:pt>
                <c:pt idx="53">
                  <c:v>11064667.74</c:v>
                </c:pt>
                <c:pt idx="54">
                  <c:v>82249.709999999992</c:v>
                </c:pt>
                <c:pt idx="55">
                  <c:v>18935703.299999997</c:v>
                </c:pt>
                <c:pt idx="56">
                  <c:v>261624.87000000002</c:v>
                </c:pt>
                <c:pt idx="57">
                  <c:v>108333.18</c:v>
                </c:pt>
                <c:pt idx="58">
                  <c:v>37975724.339999996</c:v>
                </c:pt>
                <c:pt idx="59">
                  <c:v>1468584.2100000002</c:v>
                </c:pt>
                <c:pt idx="60">
                  <c:v>60024242.370000005</c:v>
                </c:pt>
                <c:pt idx="61">
                  <c:v>26405082.930000003</c:v>
                </c:pt>
                <c:pt idx="62">
                  <c:v>253258316.16000009</c:v>
                </c:pt>
                <c:pt idx="63">
                  <c:v>714833.46</c:v>
                </c:pt>
                <c:pt idx="64">
                  <c:v>7326511.8900000006</c:v>
                </c:pt>
                <c:pt idx="65">
                  <c:v>309758.16000000003</c:v>
                </c:pt>
                <c:pt idx="66">
                  <c:v>18122371.530000001</c:v>
                </c:pt>
                <c:pt idx="67">
                  <c:v>11464654.41</c:v>
                </c:pt>
                <c:pt idx="68">
                  <c:v>11926077.690000001</c:v>
                </c:pt>
                <c:pt idx="69">
                  <c:v>1683333.6300000001</c:v>
                </c:pt>
                <c:pt idx="70">
                  <c:v>11074707.540000001</c:v>
                </c:pt>
                <c:pt idx="71">
                  <c:v>72090544.530000001</c:v>
                </c:pt>
                <c:pt idx="72">
                  <c:v>19322531.25</c:v>
                </c:pt>
                <c:pt idx="73">
                  <c:v>704583.45</c:v>
                </c:pt>
                <c:pt idx="74">
                  <c:v>51551308.949999996</c:v>
                </c:pt>
                <c:pt idx="75">
                  <c:v>1560082.9500000002</c:v>
                </c:pt>
                <c:pt idx="76">
                  <c:v>21647399.009999998</c:v>
                </c:pt>
                <c:pt idx="77">
                  <c:v>25120261.800000008</c:v>
                </c:pt>
                <c:pt idx="78">
                  <c:v>5545472.9699999988</c:v>
                </c:pt>
                <c:pt idx="79">
                  <c:v>35086058.159999996</c:v>
                </c:pt>
                <c:pt idx="80">
                  <c:v>149166.54</c:v>
                </c:pt>
                <c:pt idx="81">
                  <c:v>1319442454.2899964</c:v>
                </c:pt>
                <c:pt idx="82">
                  <c:v>128527213.65000001</c:v>
                </c:pt>
                <c:pt idx="83">
                  <c:v>1681749.69</c:v>
                </c:pt>
                <c:pt idx="84">
                  <c:v>1478999.79</c:v>
                </c:pt>
                <c:pt idx="85">
                  <c:v>68022209.12999998</c:v>
                </c:pt>
                <c:pt idx="86">
                  <c:v>53554958.939999975</c:v>
                </c:pt>
                <c:pt idx="87">
                  <c:v>47181357.089999974</c:v>
                </c:pt>
                <c:pt idx="88">
                  <c:v>740568329.52000082</c:v>
                </c:pt>
                <c:pt idx="89">
                  <c:v>35694283.530000009</c:v>
                </c:pt>
                <c:pt idx="90">
                  <c:v>31014755.850000001</c:v>
                </c:pt>
                <c:pt idx="91">
                  <c:v>17582799.989999998</c:v>
                </c:pt>
                <c:pt idx="92">
                  <c:v>44119547.579999998</c:v>
                </c:pt>
              </c:numCache>
            </c:numRef>
          </c:val>
        </c:ser>
        <c:ser>
          <c:idx val="1"/>
          <c:order val="1"/>
          <c:tx>
            <c:strRef>
              <c:f>Distributions!$EI$20</c:f>
              <c:strCache>
                <c:ptCount val="1"/>
                <c:pt idx="0">
                  <c:v>本金余额占比</c:v>
                </c:pt>
              </c:strCache>
            </c:strRef>
          </c:tx>
          <c:spPr>
            <a:solidFill>
              <a:schemeClr val="accent2"/>
            </a:solidFill>
            <a:ln>
              <a:noFill/>
            </a:ln>
            <a:effectLst/>
          </c:spPr>
          <c:invertIfNegative val="0"/>
          <c:cat>
            <c:strRef>
              <c:f>Distributions!$EG$21:$EG$114</c:f>
              <c:strCache>
                <c:ptCount val="93"/>
                <c:pt idx="1">
                  <c:v>674</c:v>
                </c:pt>
                <c:pt idx="2">
                  <c:v>DS</c:v>
                </c:pt>
                <c:pt idx="3">
                  <c:v>Jeep</c:v>
                </c:pt>
                <c:pt idx="4">
                  <c:v>MG</c:v>
                </c:pt>
                <c:pt idx="5">
                  <c:v>NULL</c:v>
                </c:pt>
                <c:pt idx="6">
                  <c:v>一汽丰田</c:v>
                </c:pt>
                <c:pt idx="7">
                  <c:v>一汽大众</c:v>
                </c:pt>
                <c:pt idx="8">
                  <c:v>一汽大众CC</c:v>
                </c:pt>
                <c:pt idx="9">
                  <c:v>一汽大众高尔夫</c:v>
                </c:pt>
                <c:pt idx="10">
                  <c:v>一汽奔腾</c:v>
                </c:pt>
                <c:pt idx="11">
                  <c:v>一汽奥迪</c:v>
                </c:pt>
                <c:pt idx="12">
                  <c:v>一汽奥迪二手车</c:v>
                </c:pt>
                <c:pt idx="13">
                  <c:v>一汽马自达</c:v>
                </c:pt>
                <c:pt idx="14">
                  <c:v>上海大众</c:v>
                </c:pt>
                <c:pt idx="15">
                  <c:v>上海大众朗行</c:v>
                </c:pt>
                <c:pt idx="16">
                  <c:v>上海汽车</c:v>
                </c:pt>
                <c:pt idx="17">
                  <c:v>东南三菱</c:v>
                </c:pt>
                <c:pt idx="18">
                  <c:v>东南汽车</c:v>
                </c:pt>
                <c:pt idx="19">
                  <c:v>东风悦达起亚</c:v>
                </c:pt>
                <c:pt idx="20">
                  <c:v>东风日产</c:v>
                </c:pt>
                <c:pt idx="21">
                  <c:v>东风本田</c:v>
                </c:pt>
                <c:pt idx="22">
                  <c:v>东风标致</c:v>
                </c:pt>
                <c:pt idx="23">
                  <c:v>东风裕隆</c:v>
                </c:pt>
                <c:pt idx="24">
                  <c:v>东风雪铁龙</c:v>
                </c:pt>
                <c:pt idx="25">
                  <c:v>东风风神</c:v>
                </c:pt>
                <c:pt idx="26">
                  <c:v>东风风行</c:v>
                </c:pt>
                <c:pt idx="27">
                  <c:v>众泰</c:v>
                </c:pt>
                <c:pt idx="28">
                  <c:v>传祺</c:v>
                </c:pt>
                <c:pt idx="29">
                  <c:v>保时捷</c:v>
                </c:pt>
                <c:pt idx="30">
                  <c:v>克莱斯勒</c:v>
                </c:pt>
                <c:pt idx="31">
                  <c:v>全球鹰</c:v>
                </c:pt>
                <c:pt idx="32">
                  <c:v>凯迪拉克</c:v>
                </c:pt>
                <c:pt idx="33">
                  <c:v>北京奔驰</c:v>
                </c:pt>
                <c:pt idx="34">
                  <c:v>北京汽车</c:v>
                </c:pt>
                <c:pt idx="35">
                  <c:v>北京现代</c:v>
                </c:pt>
                <c:pt idx="36">
                  <c:v>华晨中华</c:v>
                </c:pt>
                <c:pt idx="37">
                  <c:v>吉利</c:v>
                </c:pt>
                <c:pt idx="38">
                  <c:v>吉利全球鹰</c:v>
                </c:pt>
                <c:pt idx="39">
                  <c:v>启辰</c:v>
                </c:pt>
                <c:pt idx="40">
                  <c:v>奇瑞</c:v>
                </c:pt>
                <c:pt idx="41">
                  <c:v>宝马</c:v>
                </c:pt>
                <c:pt idx="42">
                  <c:v>帝豪</c:v>
                </c:pt>
                <c:pt idx="43">
                  <c:v>广汽三菱</c:v>
                </c:pt>
                <c:pt idx="44">
                  <c:v>广汽丰田</c:v>
                </c:pt>
                <c:pt idx="45">
                  <c:v>广汽传祺</c:v>
                </c:pt>
                <c:pt idx="46">
                  <c:v>广汽传祺GA3</c:v>
                </c:pt>
                <c:pt idx="47">
                  <c:v>广汽本田</c:v>
                </c:pt>
                <c:pt idx="48">
                  <c:v>广汽菲亚特</c:v>
                </c:pt>
                <c:pt idx="49">
                  <c:v>悦达起亚</c:v>
                </c:pt>
                <c:pt idx="50">
                  <c:v>捷豹</c:v>
                </c:pt>
                <c:pt idx="51">
                  <c:v>斯巴鲁</c:v>
                </c:pt>
                <c:pt idx="52">
                  <c:v>斯柯达</c:v>
                </c:pt>
                <c:pt idx="53">
                  <c:v>林肯</c:v>
                </c:pt>
                <c:pt idx="54">
                  <c:v>欧宝</c:v>
                </c:pt>
                <c:pt idx="55">
                  <c:v>比亚迪</c:v>
                </c:pt>
                <c:pt idx="56">
                  <c:v>江淮</c:v>
                </c:pt>
                <c:pt idx="57">
                  <c:v>江铃</c:v>
                </c:pt>
                <c:pt idx="58">
                  <c:v>沃尔沃</c:v>
                </c:pt>
                <c:pt idx="59">
                  <c:v>海南马自达</c:v>
                </c:pt>
                <c:pt idx="60">
                  <c:v>特斯拉</c:v>
                </c:pt>
                <c:pt idx="61">
                  <c:v>玛莎拉蒂</c:v>
                </c:pt>
                <c:pt idx="62">
                  <c:v>福特</c:v>
                </c:pt>
                <c:pt idx="63">
                  <c:v>科雷傲</c:v>
                </c:pt>
                <c:pt idx="64">
                  <c:v>纳智捷</c:v>
                </c:pt>
                <c:pt idx="65">
                  <c:v>英伦</c:v>
                </c:pt>
                <c:pt idx="66">
                  <c:v>英菲尼迪</c:v>
                </c:pt>
                <c:pt idx="67">
                  <c:v>荣威</c:v>
                </c:pt>
                <c:pt idx="68">
                  <c:v>菲亚特</c:v>
                </c:pt>
                <c:pt idx="69">
                  <c:v>观致</c:v>
                </c:pt>
                <c:pt idx="70">
                  <c:v>讴歌</c:v>
                </c:pt>
                <c:pt idx="71">
                  <c:v>路虎</c:v>
                </c:pt>
                <c:pt idx="72">
                  <c:v>进口三菱</c:v>
                </c:pt>
                <c:pt idx="73">
                  <c:v>进口丰田</c:v>
                </c:pt>
                <c:pt idx="74">
                  <c:v>进口大众</c:v>
                </c:pt>
                <c:pt idx="75">
                  <c:v>进口标致</c:v>
                </c:pt>
                <c:pt idx="76">
                  <c:v>进口现代</c:v>
                </c:pt>
                <c:pt idx="77">
                  <c:v>进口起亚</c:v>
                </c:pt>
                <c:pt idx="78">
                  <c:v>进口铃木</c:v>
                </c:pt>
                <c:pt idx="79">
                  <c:v>进口雪铁龙</c:v>
                </c:pt>
                <c:pt idx="80">
                  <c:v>进口马自达</c:v>
                </c:pt>
                <c:pt idx="81">
                  <c:v>通用别克</c:v>
                </c:pt>
                <c:pt idx="82">
                  <c:v>长城</c:v>
                </c:pt>
                <c:pt idx="83">
                  <c:v>长安</c:v>
                </c:pt>
                <c:pt idx="84">
                  <c:v>长安汽车</c:v>
                </c:pt>
                <c:pt idx="85">
                  <c:v>长安福特</c:v>
                </c:pt>
                <c:pt idx="86">
                  <c:v>长安铃木</c:v>
                </c:pt>
                <c:pt idx="87">
                  <c:v>长安马自达</c:v>
                </c:pt>
                <c:pt idx="88">
                  <c:v>雪佛兰</c:v>
                </c:pt>
                <c:pt idx="89">
                  <c:v>雪铁龙</c:v>
                </c:pt>
                <c:pt idx="90">
                  <c:v>雷克萨斯</c:v>
                </c:pt>
                <c:pt idx="91">
                  <c:v>雷诺</c:v>
                </c:pt>
                <c:pt idx="92">
                  <c:v>马自达</c:v>
                </c:pt>
              </c:strCache>
            </c:strRef>
          </c:cat>
          <c:val>
            <c:numRef>
              <c:f>Distributions!$EI$21:$EI$114</c:f>
              <c:numCache>
                <c:formatCode>0.00%</c:formatCode>
                <c:ptCount val="93"/>
                <c:pt idx="0">
                  <c:v>0.41616195828339086</c:v>
                </c:pt>
                <c:pt idx="1">
                  <c:v>5.4008596971432757E-6</c:v>
                </c:pt>
                <c:pt idx="2">
                  <c:v>1.0475818441189899E-5</c:v>
                </c:pt>
                <c:pt idx="3">
                  <c:v>7.8219365502905131E-6</c:v>
                </c:pt>
                <c:pt idx="4">
                  <c:v>1.3596614557345824E-4</c:v>
                </c:pt>
                <c:pt idx="5">
                  <c:v>2.5895790352093175E-5</c:v>
                </c:pt>
                <c:pt idx="6">
                  <c:v>1.2901482072702603E-2</c:v>
                </c:pt>
                <c:pt idx="7">
                  <c:v>9.860118224419652E-2</c:v>
                </c:pt>
                <c:pt idx="8">
                  <c:v>1.0842976165113996E-5</c:v>
                </c:pt>
                <c:pt idx="9">
                  <c:v>5.0406345713467529E-5</c:v>
                </c:pt>
                <c:pt idx="10">
                  <c:v>1.9933306400058968E-4</c:v>
                </c:pt>
                <c:pt idx="11">
                  <c:v>0.13781674244097539</c:v>
                </c:pt>
                <c:pt idx="12">
                  <c:v>1.0944852732893951E-4</c:v>
                </c:pt>
                <c:pt idx="13">
                  <c:v>2.5817076839184829E-5</c:v>
                </c:pt>
                <c:pt idx="14">
                  <c:v>2.0299048298401737E-2</c:v>
                </c:pt>
                <c:pt idx="15">
                  <c:v>5.03238549193067E-5</c:v>
                </c:pt>
                <c:pt idx="16">
                  <c:v>1.8446420640369775E-4</c:v>
                </c:pt>
                <c:pt idx="17">
                  <c:v>3.3713518615980361E-5</c:v>
                </c:pt>
                <c:pt idx="18">
                  <c:v>2.7134105743678122E-4</c:v>
                </c:pt>
                <c:pt idx="19">
                  <c:v>1.2538799975704536E-2</c:v>
                </c:pt>
                <c:pt idx="20">
                  <c:v>8.8374438674612751E-3</c:v>
                </c:pt>
                <c:pt idx="21">
                  <c:v>2.826990765441046E-2</c:v>
                </c:pt>
                <c:pt idx="22">
                  <c:v>7.4552989047178475E-3</c:v>
                </c:pt>
                <c:pt idx="23">
                  <c:v>2.6198283654895104E-3</c:v>
                </c:pt>
                <c:pt idx="24">
                  <c:v>7.3775053375841173E-4</c:v>
                </c:pt>
                <c:pt idx="25">
                  <c:v>1.1477806525151128E-4</c:v>
                </c:pt>
                <c:pt idx="26">
                  <c:v>1.1932457815800756E-5</c:v>
                </c:pt>
                <c:pt idx="27">
                  <c:v>9.4082833333365107E-6</c:v>
                </c:pt>
                <c:pt idx="28">
                  <c:v>4.7423903807138132E-6</c:v>
                </c:pt>
                <c:pt idx="29">
                  <c:v>1.5311059507289754E-3</c:v>
                </c:pt>
                <c:pt idx="30">
                  <c:v>3.4843935818933537E-4</c:v>
                </c:pt>
                <c:pt idx="31">
                  <c:v>1.3218449799934891E-4</c:v>
                </c:pt>
                <c:pt idx="32">
                  <c:v>1.6365014767045338E-2</c:v>
                </c:pt>
                <c:pt idx="33">
                  <c:v>2.9211667911870163E-3</c:v>
                </c:pt>
                <c:pt idx="34">
                  <c:v>3.8278237898389936E-6</c:v>
                </c:pt>
                <c:pt idx="35">
                  <c:v>3.6295348979528796E-2</c:v>
                </c:pt>
                <c:pt idx="36">
                  <c:v>2.2478114655501321E-5</c:v>
                </c:pt>
                <c:pt idx="37">
                  <c:v>3.1086883661508077E-3</c:v>
                </c:pt>
                <c:pt idx="38">
                  <c:v>3.7313815983928445E-6</c:v>
                </c:pt>
                <c:pt idx="39">
                  <c:v>5.4351218529908852E-5</c:v>
                </c:pt>
                <c:pt idx="40">
                  <c:v>1.156331148200015E-5</c:v>
                </c:pt>
                <c:pt idx="41">
                  <c:v>1.8905266353423699E-3</c:v>
                </c:pt>
                <c:pt idx="42">
                  <c:v>6.9790094685898856E-4</c:v>
                </c:pt>
                <c:pt idx="43">
                  <c:v>5.0995081269859051E-4</c:v>
                </c:pt>
                <c:pt idx="44">
                  <c:v>1.0109462724467062E-2</c:v>
                </c:pt>
                <c:pt idx="45">
                  <c:v>4.861535121972633E-4</c:v>
                </c:pt>
                <c:pt idx="46">
                  <c:v>4.5395258341065523E-6</c:v>
                </c:pt>
                <c:pt idx="47">
                  <c:v>3.2609287156108314E-2</c:v>
                </c:pt>
                <c:pt idx="48">
                  <c:v>8.53779144891005E-5</c:v>
                </c:pt>
                <c:pt idx="49">
                  <c:v>1.0387775714040381E-2</c:v>
                </c:pt>
                <c:pt idx="50">
                  <c:v>1.2565313166568364E-3</c:v>
                </c:pt>
                <c:pt idx="51">
                  <c:v>3.3690945343768197E-3</c:v>
                </c:pt>
                <c:pt idx="52">
                  <c:v>2.8340336716746631E-3</c:v>
                </c:pt>
                <c:pt idx="53">
                  <c:v>4.4156748039373474E-4</c:v>
                </c:pt>
                <c:pt idx="54">
                  <c:v>3.2824119134204896E-6</c:v>
                </c:pt>
                <c:pt idx="55">
                  <c:v>7.5568385713354702E-4</c:v>
                </c:pt>
                <c:pt idx="56">
                  <c:v>1.044089505160671E-5</c:v>
                </c:pt>
                <c:pt idx="57">
                  <c:v>4.3233480172845147E-6</c:v>
                </c:pt>
                <c:pt idx="58">
                  <c:v>1.515530814569297E-3</c:v>
                </c:pt>
                <c:pt idx="59">
                  <c:v>5.8608088791622721E-5</c:v>
                </c:pt>
                <c:pt idx="60">
                  <c:v>2.3954405219097667E-3</c:v>
                </c:pt>
                <c:pt idx="61">
                  <c:v>1.0537709954757048E-3</c:v>
                </c:pt>
                <c:pt idx="62">
                  <c:v>1.010700358866186E-2</c:v>
                </c:pt>
                <c:pt idx="63">
                  <c:v>2.8527491041799287E-5</c:v>
                </c:pt>
                <c:pt idx="64">
                  <c:v>2.9238558909876851E-4</c:v>
                </c:pt>
                <c:pt idx="65">
                  <c:v>1.2361792821679376E-5</c:v>
                </c:pt>
                <c:pt idx="66">
                  <c:v>7.2322550692889153E-4</c:v>
                </c:pt>
                <c:pt idx="67">
                  <c:v>4.5753010215638154E-4</c:v>
                </c:pt>
                <c:pt idx="68">
                  <c:v>4.7594452904495737E-4</c:v>
                </c:pt>
                <c:pt idx="69">
                  <c:v>6.717828380639104E-5</c:v>
                </c:pt>
                <c:pt idx="70">
                  <c:v>4.4196814757089999E-4</c:v>
                </c:pt>
                <c:pt idx="71">
                  <c:v>2.8769811128846819E-3</c:v>
                </c:pt>
                <c:pt idx="72">
                  <c:v>7.7112134222041286E-4</c:v>
                </c:pt>
                <c:pt idx="73">
                  <c:v>2.8118434828267601E-5</c:v>
                </c:pt>
                <c:pt idx="74">
                  <c:v>2.0573036749904688E-3</c:v>
                </c:pt>
                <c:pt idx="75">
                  <c:v>6.2259609924511384E-5</c:v>
                </c:pt>
                <c:pt idx="76">
                  <c:v>8.639018958849935E-4</c:v>
                </c:pt>
                <c:pt idx="77">
                  <c:v>1.002496502426108E-3</c:v>
                </c:pt>
                <c:pt idx="78">
                  <c:v>2.2130809387995779E-4</c:v>
                </c:pt>
                <c:pt idx="79">
                  <c:v>1.4002103508857135E-3</c:v>
                </c:pt>
                <c:pt idx="80">
                  <c:v>5.9529210252499862E-6</c:v>
                </c:pt>
                <c:pt idx="81">
                  <c:v>5.2656156854951272E-2</c:v>
                </c:pt>
                <c:pt idx="82">
                  <c:v>5.1292491764834266E-3</c:v>
                </c:pt>
                <c:pt idx="83">
                  <c:v>6.7115072112074501E-5</c:v>
                </c:pt>
                <c:pt idx="84">
                  <c:v>5.9023752553564055E-5</c:v>
                </c:pt>
                <c:pt idx="85">
                  <c:v>2.7146224542979173E-3</c:v>
                </c:pt>
                <c:pt idx="86">
                  <c:v>2.1372651070429437E-3</c:v>
                </c:pt>
                <c:pt idx="87">
                  <c:v>1.8829081416039304E-3</c:v>
                </c:pt>
                <c:pt idx="88">
                  <c:v>2.9554515238027729E-2</c:v>
                </c:pt>
                <c:pt idx="89">
                  <c:v>1.4244833386024194E-3</c:v>
                </c:pt>
                <c:pt idx="90">
                  <c:v>1.2377332891978323E-3</c:v>
                </c:pt>
                <c:pt idx="91">
                  <c:v>7.0169234831910854E-4</c:v>
                </c:pt>
                <c:pt idx="92">
                  <c:v>1.7607178018173456E-3</c:v>
                </c:pt>
              </c:numCache>
            </c:numRef>
          </c:val>
        </c:ser>
        <c:ser>
          <c:idx val="2"/>
          <c:order val="2"/>
          <c:tx>
            <c:strRef>
              <c:f>Distributions!$EJ$20</c:f>
              <c:strCache>
                <c:ptCount val="1"/>
                <c:pt idx="0">
                  <c:v>贷款笔数</c:v>
                </c:pt>
              </c:strCache>
            </c:strRef>
          </c:tx>
          <c:spPr>
            <a:solidFill>
              <a:schemeClr val="accent3"/>
            </a:solidFill>
            <a:ln>
              <a:noFill/>
            </a:ln>
            <a:effectLst/>
          </c:spPr>
          <c:invertIfNegative val="0"/>
          <c:cat>
            <c:strRef>
              <c:f>Distributions!$EG$21:$EG$114</c:f>
              <c:strCache>
                <c:ptCount val="93"/>
                <c:pt idx="1">
                  <c:v>674</c:v>
                </c:pt>
                <c:pt idx="2">
                  <c:v>DS</c:v>
                </c:pt>
                <c:pt idx="3">
                  <c:v>Jeep</c:v>
                </c:pt>
                <c:pt idx="4">
                  <c:v>MG</c:v>
                </c:pt>
                <c:pt idx="5">
                  <c:v>NULL</c:v>
                </c:pt>
                <c:pt idx="6">
                  <c:v>一汽丰田</c:v>
                </c:pt>
                <c:pt idx="7">
                  <c:v>一汽大众</c:v>
                </c:pt>
                <c:pt idx="8">
                  <c:v>一汽大众CC</c:v>
                </c:pt>
                <c:pt idx="9">
                  <c:v>一汽大众高尔夫</c:v>
                </c:pt>
                <c:pt idx="10">
                  <c:v>一汽奔腾</c:v>
                </c:pt>
                <c:pt idx="11">
                  <c:v>一汽奥迪</c:v>
                </c:pt>
                <c:pt idx="12">
                  <c:v>一汽奥迪二手车</c:v>
                </c:pt>
                <c:pt idx="13">
                  <c:v>一汽马自达</c:v>
                </c:pt>
                <c:pt idx="14">
                  <c:v>上海大众</c:v>
                </c:pt>
                <c:pt idx="15">
                  <c:v>上海大众朗行</c:v>
                </c:pt>
                <c:pt idx="16">
                  <c:v>上海汽车</c:v>
                </c:pt>
                <c:pt idx="17">
                  <c:v>东南三菱</c:v>
                </c:pt>
                <c:pt idx="18">
                  <c:v>东南汽车</c:v>
                </c:pt>
                <c:pt idx="19">
                  <c:v>东风悦达起亚</c:v>
                </c:pt>
                <c:pt idx="20">
                  <c:v>东风日产</c:v>
                </c:pt>
                <c:pt idx="21">
                  <c:v>东风本田</c:v>
                </c:pt>
                <c:pt idx="22">
                  <c:v>东风标致</c:v>
                </c:pt>
                <c:pt idx="23">
                  <c:v>东风裕隆</c:v>
                </c:pt>
                <c:pt idx="24">
                  <c:v>东风雪铁龙</c:v>
                </c:pt>
                <c:pt idx="25">
                  <c:v>东风风神</c:v>
                </c:pt>
                <c:pt idx="26">
                  <c:v>东风风行</c:v>
                </c:pt>
                <c:pt idx="27">
                  <c:v>众泰</c:v>
                </c:pt>
                <c:pt idx="28">
                  <c:v>传祺</c:v>
                </c:pt>
                <c:pt idx="29">
                  <c:v>保时捷</c:v>
                </c:pt>
                <c:pt idx="30">
                  <c:v>克莱斯勒</c:v>
                </c:pt>
                <c:pt idx="31">
                  <c:v>全球鹰</c:v>
                </c:pt>
                <c:pt idx="32">
                  <c:v>凯迪拉克</c:v>
                </c:pt>
                <c:pt idx="33">
                  <c:v>北京奔驰</c:v>
                </c:pt>
                <c:pt idx="34">
                  <c:v>北京汽车</c:v>
                </c:pt>
                <c:pt idx="35">
                  <c:v>北京现代</c:v>
                </c:pt>
                <c:pt idx="36">
                  <c:v>华晨中华</c:v>
                </c:pt>
                <c:pt idx="37">
                  <c:v>吉利</c:v>
                </c:pt>
                <c:pt idx="38">
                  <c:v>吉利全球鹰</c:v>
                </c:pt>
                <c:pt idx="39">
                  <c:v>启辰</c:v>
                </c:pt>
                <c:pt idx="40">
                  <c:v>奇瑞</c:v>
                </c:pt>
                <c:pt idx="41">
                  <c:v>宝马</c:v>
                </c:pt>
                <c:pt idx="42">
                  <c:v>帝豪</c:v>
                </c:pt>
                <c:pt idx="43">
                  <c:v>广汽三菱</c:v>
                </c:pt>
                <c:pt idx="44">
                  <c:v>广汽丰田</c:v>
                </c:pt>
                <c:pt idx="45">
                  <c:v>广汽传祺</c:v>
                </c:pt>
                <c:pt idx="46">
                  <c:v>广汽传祺GA3</c:v>
                </c:pt>
                <c:pt idx="47">
                  <c:v>广汽本田</c:v>
                </c:pt>
                <c:pt idx="48">
                  <c:v>广汽菲亚特</c:v>
                </c:pt>
                <c:pt idx="49">
                  <c:v>悦达起亚</c:v>
                </c:pt>
                <c:pt idx="50">
                  <c:v>捷豹</c:v>
                </c:pt>
                <c:pt idx="51">
                  <c:v>斯巴鲁</c:v>
                </c:pt>
                <c:pt idx="52">
                  <c:v>斯柯达</c:v>
                </c:pt>
                <c:pt idx="53">
                  <c:v>林肯</c:v>
                </c:pt>
                <c:pt idx="54">
                  <c:v>欧宝</c:v>
                </c:pt>
                <c:pt idx="55">
                  <c:v>比亚迪</c:v>
                </c:pt>
                <c:pt idx="56">
                  <c:v>江淮</c:v>
                </c:pt>
                <c:pt idx="57">
                  <c:v>江铃</c:v>
                </c:pt>
                <c:pt idx="58">
                  <c:v>沃尔沃</c:v>
                </c:pt>
                <c:pt idx="59">
                  <c:v>海南马自达</c:v>
                </c:pt>
                <c:pt idx="60">
                  <c:v>特斯拉</c:v>
                </c:pt>
                <c:pt idx="61">
                  <c:v>玛莎拉蒂</c:v>
                </c:pt>
                <c:pt idx="62">
                  <c:v>福特</c:v>
                </c:pt>
                <c:pt idx="63">
                  <c:v>科雷傲</c:v>
                </c:pt>
                <c:pt idx="64">
                  <c:v>纳智捷</c:v>
                </c:pt>
                <c:pt idx="65">
                  <c:v>英伦</c:v>
                </c:pt>
                <c:pt idx="66">
                  <c:v>英菲尼迪</c:v>
                </c:pt>
                <c:pt idx="67">
                  <c:v>荣威</c:v>
                </c:pt>
                <c:pt idx="68">
                  <c:v>菲亚特</c:v>
                </c:pt>
                <c:pt idx="69">
                  <c:v>观致</c:v>
                </c:pt>
                <c:pt idx="70">
                  <c:v>讴歌</c:v>
                </c:pt>
                <c:pt idx="71">
                  <c:v>路虎</c:v>
                </c:pt>
                <c:pt idx="72">
                  <c:v>进口三菱</c:v>
                </c:pt>
                <c:pt idx="73">
                  <c:v>进口丰田</c:v>
                </c:pt>
                <c:pt idx="74">
                  <c:v>进口大众</c:v>
                </c:pt>
                <c:pt idx="75">
                  <c:v>进口标致</c:v>
                </c:pt>
                <c:pt idx="76">
                  <c:v>进口现代</c:v>
                </c:pt>
                <c:pt idx="77">
                  <c:v>进口起亚</c:v>
                </c:pt>
                <c:pt idx="78">
                  <c:v>进口铃木</c:v>
                </c:pt>
                <c:pt idx="79">
                  <c:v>进口雪铁龙</c:v>
                </c:pt>
                <c:pt idx="80">
                  <c:v>进口马自达</c:v>
                </c:pt>
                <c:pt idx="81">
                  <c:v>通用别克</c:v>
                </c:pt>
                <c:pt idx="82">
                  <c:v>长城</c:v>
                </c:pt>
                <c:pt idx="83">
                  <c:v>长安</c:v>
                </c:pt>
                <c:pt idx="84">
                  <c:v>长安汽车</c:v>
                </c:pt>
                <c:pt idx="85">
                  <c:v>长安福特</c:v>
                </c:pt>
                <c:pt idx="86">
                  <c:v>长安铃木</c:v>
                </c:pt>
                <c:pt idx="87">
                  <c:v>长安马自达</c:v>
                </c:pt>
                <c:pt idx="88">
                  <c:v>雪佛兰</c:v>
                </c:pt>
                <c:pt idx="89">
                  <c:v>雪铁龙</c:v>
                </c:pt>
                <c:pt idx="90">
                  <c:v>雷克萨斯</c:v>
                </c:pt>
                <c:pt idx="91">
                  <c:v>雷诺</c:v>
                </c:pt>
                <c:pt idx="92">
                  <c:v>马自达</c:v>
                </c:pt>
              </c:strCache>
            </c:strRef>
          </c:cat>
          <c:val>
            <c:numRef>
              <c:f>Distributions!$EJ$21:$EJ$114</c:f>
              <c:numCache>
                <c:formatCode>#,##0;\-#,##0</c:formatCode>
                <c:ptCount val="93"/>
                <c:pt idx="0">
                  <c:v>18013</c:v>
                </c:pt>
                <c:pt idx="1">
                  <c:v>9</c:v>
                </c:pt>
                <c:pt idx="2">
                  <c:v>3</c:v>
                </c:pt>
                <c:pt idx="3">
                  <c:v>3</c:v>
                </c:pt>
                <c:pt idx="4">
                  <c:v>81</c:v>
                </c:pt>
                <c:pt idx="5">
                  <c:v>6</c:v>
                </c:pt>
                <c:pt idx="6">
                  <c:v>5973</c:v>
                </c:pt>
                <c:pt idx="7">
                  <c:v>52698</c:v>
                </c:pt>
                <c:pt idx="8">
                  <c:v>3</c:v>
                </c:pt>
                <c:pt idx="9">
                  <c:v>27</c:v>
                </c:pt>
                <c:pt idx="10">
                  <c:v>105</c:v>
                </c:pt>
                <c:pt idx="11">
                  <c:v>37976</c:v>
                </c:pt>
                <c:pt idx="12">
                  <c:v>42</c:v>
                </c:pt>
                <c:pt idx="13">
                  <c:v>9</c:v>
                </c:pt>
                <c:pt idx="14">
                  <c:v>10050</c:v>
                </c:pt>
                <c:pt idx="15">
                  <c:v>30</c:v>
                </c:pt>
                <c:pt idx="16">
                  <c:v>102</c:v>
                </c:pt>
                <c:pt idx="17">
                  <c:v>33</c:v>
                </c:pt>
                <c:pt idx="18">
                  <c:v>291</c:v>
                </c:pt>
                <c:pt idx="19">
                  <c:v>5805</c:v>
                </c:pt>
                <c:pt idx="20">
                  <c:v>4746</c:v>
                </c:pt>
                <c:pt idx="21">
                  <c:v>14583</c:v>
                </c:pt>
                <c:pt idx="22">
                  <c:v>4050</c:v>
                </c:pt>
                <c:pt idx="23">
                  <c:v>1089</c:v>
                </c:pt>
                <c:pt idx="24">
                  <c:v>432</c:v>
                </c:pt>
                <c:pt idx="25">
                  <c:v>54</c:v>
                </c:pt>
                <c:pt idx="26">
                  <c:v>6</c:v>
                </c:pt>
                <c:pt idx="27">
                  <c:v>3</c:v>
                </c:pt>
                <c:pt idx="28">
                  <c:v>3</c:v>
                </c:pt>
                <c:pt idx="29">
                  <c:v>126</c:v>
                </c:pt>
                <c:pt idx="30">
                  <c:v>120</c:v>
                </c:pt>
                <c:pt idx="31">
                  <c:v>120</c:v>
                </c:pt>
                <c:pt idx="32">
                  <c:v>4131</c:v>
                </c:pt>
                <c:pt idx="33">
                  <c:v>564</c:v>
                </c:pt>
                <c:pt idx="34">
                  <c:v>6</c:v>
                </c:pt>
                <c:pt idx="35">
                  <c:v>20532</c:v>
                </c:pt>
                <c:pt idx="36">
                  <c:v>24</c:v>
                </c:pt>
                <c:pt idx="37">
                  <c:v>2190</c:v>
                </c:pt>
                <c:pt idx="38">
                  <c:v>3</c:v>
                </c:pt>
                <c:pt idx="39">
                  <c:v>30</c:v>
                </c:pt>
                <c:pt idx="40">
                  <c:v>6</c:v>
                </c:pt>
                <c:pt idx="41">
                  <c:v>438</c:v>
                </c:pt>
                <c:pt idx="42">
                  <c:v>681</c:v>
                </c:pt>
                <c:pt idx="43">
                  <c:v>222</c:v>
                </c:pt>
                <c:pt idx="44">
                  <c:v>4224</c:v>
                </c:pt>
                <c:pt idx="45">
                  <c:v>246</c:v>
                </c:pt>
                <c:pt idx="46">
                  <c:v>3</c:v>
                </c:pt>
                <c:pt idx="47">
                  <c:v>17426</c:v>
                </c:pt>
                <c:pt idx="48">
                  <c:v>54</c:v>
                </c:pt>
                <c:pt idx="49">
                  <c:v>7539</c:v>
                </c:pt>
                <c:pt idx="50">
                  <c:v>213</c:v>
                </c:pt>
                <c:pt idx="51">
                  <c:v>954</c:v>
                </c:pt>
                <c:pt idx="52">
                  <c:v>1635</c:v>
                </c:pt>
                <c:pt idx="53">
                  <c:v>72</c:v>
                </c:pt>
                <c:pt idx="54">
                  <c:v>3</c:v>
                </c:pt>
                <c:pt idx="55">
                  <c:v>336</c:v>
                </c:pt>
                <c:pt idx="56">
                  <c:v>6</c:v>
                </c:pt>
                <c:pt idx="57">
                  <c:v>3</c:v>
                </c:pt>
                <c:pt idx="58">
                  <c:v>333</c:v>
                </c:pt>
                <c:pt idx="59">
                  <c:v>42</c:v>
                </c:pt>
                <c:pt idx="60">
                  <c:v>192</c:v>
                </c:pt>
                <c:pt idx="61">
                  <c:v>63</c:v>
                </c:pt>
                <c:pt idx="62">
                  <c:v>4155</c:v>
                </c:pt>
                <c:pt idx="63">
                  <c:v>24</c:v>
                </c:pt>
                <c:pt idx="64">
                  <c:v>123</c:v>
                </c:pt>
                <c:pt idx="65">
                  <c:v>18</c:v>
                </c:pt>
                <c:pt idx="66">
                  <c:v>159</c:v>
                </c:pt>
                <c:pt idx="67">
                  <c:v>264</c:v>
                </c:pt>
                <c:pt idx="68">
                  <c:v>294</c:v>
                </c:pt>
                <c:pt idx="69">
                  <c:v>27</c:v>
                </c:pt>
                <c:pt idx="70">
                  <c:v>63</c:v>
                </c:pt>
                <c:pt idx="71">
                  <c:v>486</c:v>
                </c:pt>
                <c:pt idx="72">
                  <c:v>279</c:v>
                </c:pt>
                <c:pt idx="73">
                  <c:v>6</c:v>
                </c:pt>
                <c:pt idx="74">
                  <c:v>528</c:v>
                </c:pt>
                <c:pt idx="75">
                  <c:v>21</c:v>
                </c:pt>
                <c:pt idx="76">
                  <c:v>213</c:v>
                </c:pt>
                <c:pt idx="77">
                  <c:v>315</c:v>
                </c:pt>
                <c:pt idx="78">
                  <c:v>105</c:v>
                </c:pt>
                <c:pt idx="79">
                  <c:v>435</c:v>
                </c:pt>
                <c:pt idx="80">
                  <c:v>9</c:v>
                </c:pt>
                <c:pt idx="81">
                  <c:v>27090</c:v>
                </c:pt>
                <c:pt idx="82">
                  <c:v>2592</c:v>
                </c:pt>
                <c:pt idx="83">
                  <c:v>30</c:v>
                </c:pt>
                <c:pt idx="84">
                  <c:v>24</c:v>
                </c:pt>
                <c:pt idx="85">
                  <c:v>1107</c:v>
                </c:pt>
                <c:pt idx="86">
                  <c:v>1794</c:v>
                </c:pt>
                <c:pt idx="87">
                  <c:v>645</c:v>
                </c:pt>
                <c:pt idx="88">
                  <c:v>17952</c:v>
                </c:pt>
                <c:pt idx="89">
                  <c:v>1002</c:v>
                </c:pt>
                <c:pt idx="90">
                  <c:v>252</c:v>
                </c:pt>
                <c:pt idx="91">
                  <c:v>327</c:v>
                </c:pt>
                <c:pt idx="92">
                  <c:v>1005</c:v>
                </c:pt>
              </c:numCache>
            </c:numRef>
          </c:val>
        </c:ser>
        <c:ser>
          <c:idx val="3"/>
          <c:order val="3"/>
          <c:tx>
            <c:strRef>
              <c:f>Distributions!$EK$20</c:f>
              <c:strCache>
                <c:ptCount val="1"/>
                <c:pt idx="0">
                  <c:v>贷款笔数占比</c:v>
                </c:pt>
              </c:strCache>
            </c:strRef>
          </c:tx>
          <c:spPr>
            <a:solidFill>
              <a:schemeClr val="accent4"/>
            </a:solidFill>
            <a:ln>
              <a:noFill/>
            </a:ln>
            <a:effectLst/>
          </c:spPr>
          <c:invertIfNegative val="0"/>
          <c:cat>
            <c:strRef>
              <c:f>Distributions!$EG$21:$EG$114</c:f>
              <c:strCache>
                <c:ptCount val="93"/>
                <c:pt idx="1">
                  <c:v>674</c:v>
                </c:pt>
                <c:pt idx="2">
                  <c:v>DS</c:v>
                </c:pt>
                <c:pt idx="3">
                  <c:v>Jeep</c:v>
                </c:pt>
                <c:pt idx="4">
                  <c:v>MG</c:v>
                </c:pt>
                <c:pt idx="5">
                  <c:v>NULL</c:v>
                </c:pt>
                <c:pt idx="6">
                  <c:v>一汽丰田</c:v>
                </c:pt>
                <c:pt idx="7">
                  <c:v>一汽大众</c:v>
                </c:pt>
                <c:pt idx="8">
                  <c:v>一汽大众CC</c:v>
                </c:pt>
                <c:pt idx="9">
                  <c:v>一汽大众高尔夫</c:v>
                </c:pt>
                <c:pt idx="10">
                  <c:v>一汽奔腾</c:v>
                </c:pt>
                <c:pt idx="11">
                  <c:v>一汽奥迪</c:v>
                </c:pt>
                <c:pt idx="12">
                  <c:v>一汽奥迪二手车</c:v>
                </c:pt>
                <c:pt idx="13">
                  <c:v>一汽马自达</c:v>
                </c:pt>
                <c:pt idx="14">
                  <c:v>上海大众</c:v>
                </c:pt>
                <c:pt idx="15">
                  <c:v>上海大众朗行</c:v>
                </c:pt>
                <c:pt idx="16">
                  <c:v>上海汽车</c:v>
                </c:pt>
                <c:pt idx="17">
                  <c:v>东南三菱</c:v>
                </c:pt>
                <c:pt idx="18">
                  <c:v>东南汽车</c:v>
                </c:pt>
                <c:pt idx="19">
                  <c:v>东风悦达起亚</c:v>
                </c:pt>
                <c:pt idx="20">
                  <c:v>东风日产</c:v>
                </c:pt>
                <c:pt idx="21">
                  <c:v>东风本田</c:v>
                </c:pt>
                <c:pt idx="22">
                  <c:v>东风标致</c:v>
                </c:pt>
                <c:pt idx="23">
                  <c:v>东风裕隆</c:v>
                </c:pt>
                <c:pt idx="24">
                  <c:v>东风雪铁龙</c:v>
                </c:pt>
                <c:pt idx="25">
                  <c:v>东风风神</c:v>
                </c:pt>
                <c:pt idx="26">
                  <c:v>东风风行</c:v>
                </c:pt>
                <c:pt idx="27">
                  <c:v>众泰</c:v>
                </c:pt>
                <c:pt idx="28">
                  <c:v>传祺</c:v>
                </c:pt>
                <c:pt idx="29">
                  <c:v>保时捷</c:v>
                </c:pt>
                <c:pt idx="30">
                  <c:v>克莱斯勒</c:v>
                </c:pt>
                <c:pt idx="31">
                  <c:v>全球鹰</c:v>
                </c:pt>
                <c:pt idx="32">
                  <c:v>凯迪拉克</c:v>
                </c:pt>
                <c:pt idx="33">
                  <c:v>北京奔驰</c:v>
                </c:pt>
                <c:pt idx="34">
                  <c:v>北京汽车</c:v>
                </c:pt>
                <c:pt idx="35">
                  <c:v>北京现代</c:v>
                </c:pt>
                <c:pt idx="36">
                  <c:v>华晨中华</c:v>
                </c:pt>
                <c:pt idx="37">
                  <c:v>吉利</c:v>
                </c:pt>
                <c:pt idx="38">
                  <c:v>吉利全球鹰</c:v>
                </c:pt>
                <c:pt idx="39">
                  <c:v>启辰</c:v>
                </c:pt>
                <c:pt idx="40">
                  <c:v>奇瑞</c:v>
                </c:pt>
                <c:pt idx="41">
                  <c:v>宝马</c:v>
                </c:pt>
                <c:pt idx="42">
                  <c:v>帝豪</c:v>
                </c:pt>
                <c:pt idx="43">
                  <c:v>广汽三菱</c:v>
                </c:pt>
                <c:pt idx="44">
                  <c:v>广汽丰田</c:v>
                </c:pt>
                <c:pt idx="45">
                  <c:v>广汽传祺</c:v>
                </c:pt>
                <c:pt idx="46">
                  <c:v>广汽传祺GA3</c:v>
                </c:pt>
                <c:pt idx="47">
                  <c:v>广汽本田</c:v>
                </c:pt>
                <c:pt idx="48">
                  <c:v>广汽菲亚特</c:v>
                </c:pt>
                <c:pt idx="49">
                  <c:v>悦达起亚</c:v>
                </c:pt>
                <c:pt idx="50">
                  <c:v>捷豹</c:v>
                </c:pt>
                <c:pt idx="51">
                  <c:v>斯巴鲁</c:v>
                </c:pt>
                <c:pt idx="52">
                  <c:v>斯柯达</c:v>
                </c:pt>
                <c:pt idx="53">
                  <c:v>林肯</c:v>
                </c:pt>
                <c:pt idx="54">
                  <c:v>欧宝</c:v>
                </c:pt>
                <c:pt idx="55">
                  <c:v>比亚迪</c:v>
                </c:pt>
                <c:pt idx="56">
                  <c:v>江淮</c:v>
                </c:pt>
                <c:pt idx="57">
                  <c:v>江铃</c:v>
                </c:pt>
                <c:pt idx="58">
                  <c:v>沃尔沃</c:v>
                </c:pt>
                <c:pt idx="59">
                  <c:v>海南马自达</c:v>
                </c:pt>
                <c:pt idx="60">
                  <c:v>特斯拉</c:v>
                </c:pt>
                <c:pt idx="61">
                  <c:v>玛莎拉蒂</c:v>
                </c:pt>
                <c:pt idx="62">
                  <c:v>福特</c:v>
                </c:pt>
                <c:pt idx="63">
                  <c:v>科雷傲</c:v>
                </c:pt>
                <c:pt idx="64">
                  <c:v>纳智捷</c:v>
                </c:pt>
                <c:pt idx="65">
                  <c:v>英伦</c:v>
                </c:pt>
                <c:pt idx="66">
                  <c:v>英菲尼迪</c:v>
                </c:pt>
                <c:pt idx="67">
                  <c:v>荣威</c:v>
                </c:pt>
                <c:pt idx="68">
                  <c:v>菲亚特</c:v>
                </c:pt>
                <c:pt idx="69">
                  <c:v>观致</c:v>
                </c:pt>
                <c:pt idx="70">
                  <c:v>讴歌</c:v>
                </c:pt>
                <c:pt idx="71">
                  <c:v>路虎</c:v>
                </c:pt>
                <c:pt idx="72">
                  <c:v>进口三菱</c:v>
                </c:pt>
                <c:pt idx="73">
                  <c:v>进口丰田</c:v>
                </c:pt>
                <c:pt idx="74">
                  <c:v>进口大众</c:v>
                </c:pt>
                <c:pt idx="75">
                  <c:v>进口标致</c:v>
                </c:pt>
                <c:pt idx="76">
                  <c:v>进口现代</c:v>
                </c:pt>
                <c:pt idx="77">
                  <c:v>进口起亚</c:v>
                </c:pt>
                <c:pt idx="78">
                  <c:v>进口铃木</c:v>
                </c:pt>
                <c:pt idx="79">
                  <c:v>进口雪铁龙</c:v>
                </c:pt>
                <c:pt idx="80">
                  <c:v>进口马自达</c:v>
                </c:pt>
                <c:pt idx="81">
                  <c:v>通用别克</c:v>
                </c:pt>
                <c:pt idx="82">
                  <c:v>长城</c:v>
                </c:pt>
                <c:pt idx="83">
                  <c:v>长安</c:v>
                </c:pt>
                <c:pt idx="84">
                  <c:v>长安汽车</c:v>
                </c:pt>
                <c:pt idx="85">
                  <c:v>长安福特</c:v>
                </c:pt>
                <c:pt idx="86">
                  <c:v>长安铃木</c:v>
                </c:pt>
                <c:pt idx="87">
                  <c:v>长安马自达</c:v>
                </c:pt>
                <c:pt idx="88">
                  <c:v>雪佛兰</c:v>
                </c:pt>
                <c:pt idx="89">
                  <c:v>雪铁龙</c:v>
                </c:pt>
                <c:pt idx="90">
                  <c:v>雷克萨斯</c:v>
                </c:pt>
                <c:pt idx="91">
                  <c:v>雷诺</c:v>
                </c:pt>
                <c:pt idx="92">
                  <c:v>马自达</c:v>
                </c:pt>
              </c:strCache>
            </c:strRef>
          </c:cat>
          <c:val>
            <c:numRef>
              <c:f>Distributions!$EK$21:$EK$114</c:f>
              <c:numCache>
                <c:formatCode>0.00%</c:formatCode>
                <c:ptCount val="93"/>
                <c:pt idx="0">
                  <c:v>6.4307797762275715E-2</c:v>
                </c:pt>
                <c:pt idx="1">
                  <c:v>3.2130693380363148E-5</c:v>
                </c:pt>
                <c:pt idx="2">
                  <c:v>1.0710231126787716E-5</c:v>
                </c:pt>
                <c:pt idx="3">
                  <c:v>1.0710231126787716E-5</c:v>
                </c:pt>
                <c:pt idx="4">
                  <c:v>2.8917624042326835E-4</c:v>
                </c:pt>
                <c:pt idx="5">
                  <c:v>2.1420462253575432E-5</c:v>
                </c:pt>
                <c:pt idx="6">
                  <c:v>2.1324070173434344E-2</c:v>
                </c:pt>
                <c:pt idx="7">
                  <c:v>0.18813591997315302</c:v>
                </c:pt>
                <c:pt idx="8">
                  <c:v>1.0710231126787716E-5</c:v>
                </c:pt>
                <c:pt idx="9">
                  <c:v>9.6392080141089438E-5</c:v>
                </c:pt>
                <c:pt idx="10">
                  <c:v>3.7485808943757008E-4</c:v>
                </c:pt>
                <c:pt idx="11">
                  <c:v>0.13557724575696342</c:v>
                </c:pt>
                <c:pt idx="12">
                  <c:v>1.4994323577502801E-4</c:v>
                </c:pt>
                <c:pt idx="13">
                  <c:v>3.2130693380363148E-5</c:v>
                </c:pt>
                <c:pt idx="14">
                  <c:v>3.5879274274738845E-2</c:v>
                </c:pt>
                <c:pt idx="15">
                  <c:v>1.0710231126787716E-4</c:v>
                </c:pt>
                <c:pt idx="16">
                  <c:v>3.6414785831078236E-4</c:v>
                </c:pt>
                <c:pt idx="17">
                  <c:v>1.1781254239466487E-4</c:v>
                </c:pt>
                <c:pt idx="18">
                  <c:v>1.0388924192984085E-3</c:v>
                </c:pt>
                <c:pt idx="19">
                  <c:v>2.072429723033423E-2</c:v>
                </c:pt>
                <c:pt idx="20">
                  <c:v>1.6943585642578168E-2</c:v>
                </c:pt>
                <c:pt idx="21">
                  <c:v>5.2062433507315091E-2</c:v>
                </c:pt>
                <c:pt idx="22">
                  <c:v>1.4458812021163416E-2</c:v>
                </c:pt>
                <c:pt idx="23">
                  <c:v>3.8878138990239407E-3</c:v>
                </c:pt>
                <c:pt idx="24">
                  <c:v>1.542273282257431E-3</c:v>
                </c:pt>
                <c:pt idx="25">
                  <c:v>1.9278416028217888E-4</c:v>
                </c:pt>
                <c:pt idx="26">
                  <c:v>2.1420462253575432E-5</c:v>
                </c:pt>
                <c:pt idx="27">
                  <c:v>1.0710231126787716E-5</c:v>
                </c:pt>
                <c:pt idx="28">
                  <c:v>1.0710231126787716E-5</c:v>
                </c:pt>
                <c:pt idx="29">
                  <c:v>4.4982970732508409E-4</c:v>
                </c:pt>
                <c:pt idx="30">
                  <c:v>4.2840924507150864E-4</c:v>
                </c:pt>
                <c:pt idx="31">
                  <c:v>4.2840924507150864E-4</c:v>
                </c:pt>
                <c:pt idx="32">
                  <c:v>1.4747988261586685E-2</c:v>
                </c:pt>
                <c:pt idx="33">
                  <c:v>2.0135234518360908E-3</c:v>
                </c:pt>
                <c:pt idx="34">
                  <c:v>2.1420462253575432E-5</c:v>
                </c:pt>
                <c:pt idx="35">
                  <c:v>7.3300821831735127E-2</c:v>
                </c:pt>
                <c:pt idx="36">
                  <c:v>8.5681849014301729E-5</c:v>
                </c:pt>
                <c:pt idx="37">
                  <c:v>7.8184687225550335E-3</c:v>
                </c:pt>
                <c:pt idx="38">
                  <c:v>1.0710231126787716E-5</c:v>
                </c:pt>
                <c:pt idx="39">
                  <c:v>1.0710231126787716E-4</c:v>
                </c:pt>
                <c:pt idx="40">
                  <c:v>2.1420462253575432E-5</c:v>
                </c:pt>
                <c:pt idx="41">
                  <c:v>1.5636937445110066E-3</c:v>
                </c:pt>
                <c:pt idx="42">
                  <c:v>2.4312224657808117E-3</c:v>
                </c:pt>
                <c:pt idx="43">
                  <c:v>7.9255710338229095E-4</c:v>
                </c:pt>
                <c:pt idx="44">
                  <c:v>1.5080005426517103E-2</c:v>
                </c:pt>
                <c:pt idx="45">
                  <c:v>8.7823895239659273E-4</c:v>
                </c:pt>
                <c:pt idx="46">
                  <c:v>1.0710231126787716E-5</c:v>
                </c:pt>
                <c:pt idx="47">
                  <c:v>6.2212162538467577E-2</c:v>
                </c:pt>
                <c:pt idx="48">
                  <c:v>1.9278416028217888E-4</c:v>
                </c:pt>
                <c:pt idx="49">
                  <c:v>2.6914810821617532E-2</c:v>
                </c:pt>
                <c:pt idx="50">
                  <c:v>7.6042641000192784E-4</c:v>
                </c:pt>
                <c:pt idx="51">
                  <c:v>3.4058534983184936E-3</c:v>
                </c:pt>
                <c:pt idx="52">
                  <c:v>5.8370759640993053E-3</c:v>
                </c:pt>
                <c:pt idx="53">
                  <c:v>2.5704554704290519E-4</c:v>
                </c:pt>
                <c:pt idx="54">
                  <c:v>1.0710231126787716E-5</c:v>
                </c:pt>
                <c:pt idx="55">
                  <c:v>1.1995458862002241E-3</c:v>
                </c:pt>
                <c:pt idx="56">
                  <c:v>2.1420462253575432E-5</c:v>
                </c:pt>
                <c:pt idx="57">
                  <c:v>1.0710231126787716E-5</c:v>
                </c:pt>
                <c:pt idx="58">
                  <c:v>1.1888356550734365E-3</c:v>
                </c:pt>
                <c:pt idx="59">
                  <c:v>1.4994323577502801E-4</c:v>
                </c:pt>
                <c:pt idx="60">
                  <c:v>6.8545479211441383E-4</c:v>
                </c:pt>
                <c:pt idx="61">
                  <c:v>2.2491485366254204E-4</c:v>
                </c:pt>
                <c:pt idx="62">
                  <c:v>1.4833670110600987E-2</c:v>
                </c:pt>
                <c:pt idx="63">
                  <c:v>8.5681849014301729E-5</c:v>
                </c:pt>
                <c:pt idx="64">
                  <c:v>4.3911947619829637E-4</c:v>
                </c:pt>
                <c:pt idx="65">
                  <c:v>6.4261386760726297E-5</c:v>
                </c:pt>
                <c:pt idx="66">
                  <c:v>5.6764224971974893E-4</c:v>
                </c:pt>
                <c:pt idx="67">
                  <c:v>9.4250033915731896E-4</c:v>
                </c:pt>
                <c:pt idx="68">
                  <c:v>1.0496026504251961E-3</c:v>
                </c:pt>
                <c:pt idx="69">
                  <c:v>9.6392080141089438E-5</c:v>
                </c:pt>
                <c:pt idx="70">
                  <c:v>2.2491485366254204E-4</c:v>
                </c:pt>
                <c:pt idx="71">
                  <c:v>1.7350574425396099E-3</c:v>
                </c:pt>
                <c:pt idx="72">
                  <c:v>9.9605149479125763E-4</c:v>
                </c:pt>
                <c:pt idx="73">
                  <c:v>2.1420462253575432E-5</c:v>
                </c:pt>
                <c:pt idx="74">
                  <c:v>1.8850006783146379E-3</c:v>
                </c:pt>
                <c:pt idx="75">
                  <c:v>7.4971617887514006E-5</c:v>
                </c:pt>
                <c:pt idx="76">
                  <c:v>7.6042641000192784E-4</c:v>
                </c:pt>
                <c:pt idx="77">
                  <c:v>1.1245742683127101E-3</c:v>
                </c:pt>
                <c:pt idx="78">
                  <c:v>3.7485808943757008E-4</c:v>
                </c:pt>
                <c:pt idx="79">
                  <c:v>1.5529835133842188E-3</c:v>
                </c:pt>
                <c:pt idx="80">
                  <c:v>3.2130693380363148E-5</c:v>
                </c:pt>
                <c:pt idx="81">
                  <c:v>9.6713387074893076E-2</c:v>
                </c:pt>
                <c:pt idx="82">
                  <c:v>9.2536396935445873E-3</c:v>
                </c:pt>
                <c:pt idx="83">
                  <c:v>1.0710231126787716E-4</c:v>
                </c:pt>
                <c:pt idx="84">
                  <c:v>8.5681849014301729E-5</c:v>
                </c:pt>
                <c:pt idx="85">
                  <c:v>3.952075285784667E-3</c:v>
                </c:pt>
                <c:pt idx="86">
                  <c:v>6.4047182138190538E-3</c:v>
                </c:pt>
                <c:pt idx="87">
                  <c:v>2.3026996922593588E-3</c:v>
                </c:pt>
                <c:pt idx="88">
                  <c:v>6.409002306269769E-2</c:v>
                </c:pt>
                <c:pt idx="89">
                  <c:v>3.5772171963470972E-3</c:v>
                </c:pt>
                <c:pt idx="90">
                  <c:v>8.9965941465016818E-4</c:v>
                </c:pt>
                <c:pt idx="91">
                  <c:v>1.167415192819861E-3</c:v>
                </c:pt>
                <c:pt idx="92">
                  <c:v>3.5879274274738847E-3</c:v>
                </c:pt>
              </c:numCache>
            </c:numRef>
          </c:val>
        </c:ser>
        <c:ser>
          <c:idx val="4"/>
          <c:order val="4"/>
          <c:tx>
            <c:strRef>
              <c:f>Distributions!$EL$20</c:f>
              <c:strCache>
                <c:ptCount val="1"/>
                <c:pt idx="0">
                  <c:v>合同金额</c:v>
                </c:pt>
              </c:strCache>
            </c:strRef>
          </c:tx>
          <c:spPr>
            <a:solidFill>
              <a:schemeClr val="accent5"/>
            </a:solidFill>
            <a:ln>
              <a:noFill/>
            </a:ln>
            <a:effectLst/>
          </c:spPr>
          <c:invertIfNegative val="0"/>
          <c:cat>
            <c:strRef>
              <c:f>Distributions!$EG$21:$EG$114</c:f>
              <c:strCache>
                <c:ptCount val="93"/>
                <c:pt idx="1">
                  <c:v>674</c:v>
                </c:pt>
                <c:pt idx="2">
                  <c:v>DS</c:v>
                </c:pt>
                <c:pt idx="3">
                  <c:v>Jeep</c:v>
                </c:pt>
                <c:pt idx="4">
                  <c:v>MG</c:v>
                </c:pt>
                <c:pt idx="5">
                  <c:v>NULL</c:v>
                </c:pt>
                <c:pt idx="6">
                  <c:v>一汽丰田</c:v>
                </c:pt>
                <c:pt idx="7">
                  <c:v>一汽大众</c:v>
                </c:pt>
                <c:pt idx="8">
                  <c:v>一汽大众CC</c:v>
                </c:pt>
                <c:pt idx="9">
                  <c:v>一汽大众高尔夫</c:v>
                </c:pt>
                <c:pt idx="10">
                  <c:v>一汽奔腾</c:v>
                </c:pt>
                <c:pt idx="11">
                  <c:v>一汽奥迪</c:v>
                </c:pt>
                <c:pt idx="12">
                  <c:v>一汽奥迪二手车</c:v>
                </c:pt>
                <c:pt idx="13">
                  <c:v>一汽马自达</c:v>
                </c:pt>
                <c:pt idx="14">
                  <c:v>上海大众</c:v>
                </c:pt>
                <c:pt idx="15">
                  <c:v>上海大众朗行</c:v>
                </c:pt>
                <c:pt idx="16">
                  <c:v>上海汽车</c:v>
                </c:pt>
                <c:pt idx="17">
                  <c:v>东南三菱</c:v>
                </c:pt>
                <c:pt idx="18">
                  <c:v>东南汽车</c:v>
                </c:pt>
                <c:pt idx="19">
                  <c:v>东风悦达起亚</c:v>
                </c:pt>
                <c:pt idx="20">
                  <c:v>东风日产</c:v>
                </c:pt>
                <c:pt idx="21">
                  <c:v>东风本田</c:v>
                </c:pt>
                <c:pt idx="22">
                  <c:v>东风标致</c:v>
                </c:pt>
                <c:pt idx="23">
                  <c:v>东风裕隆</c:v>
                </c:pt>
                <c:pt idx="24">
                  <c:v>东风雪铁龙</c:v>
                </c:pt>
                <c:pt idx="25">
                  <c:v>东风风神</c:v>
                </c:pt>
                <c:pt idx="26">
                  <c:v>东风风行</c:v>
                </c:pt>
                <c:pt idx="27">
                  <c:v>众泰</c:v>
                </c:pt>
                <c:pt idx="28">
                  <c:v>传祺</c:v>
                </c:pt>
                <c:pt idx="29">
                  <c:v>保时捷</c:v>
                </c:pt>
                <c:pt idx="30">
                  <c:v>克莱斯勒</c:v>
                </c:pt>
                <c:pt idx="31">
                  <c:v>全球鹰</c:v>
                </c:pt>
                <c:pt idx="32">
                  <c:v>凯迪拉克</c:v>
                </c:pt>
                <c:pt idx="33">
                  <c:v>北京奔驰</c:v>
                </c:pt>
                <c:pt idx="34">
                  <c:v>北京汽车</c:v>
                </c:pt>
                <c:pt idx="35">
                  <c:v>北京现代</c:v>
                </c:pt>
                <c:pt idx="36">
                  <c:v>华晨中华</c:v>
                </c:pt>
                <c:pt idx="37">
                  <c:v>吉利</c:v>
                </c:pt>
                <c:pt idx="38">
                  <c:v>吉利全球鹰</c:v>
                </c:pt>
                <c:pt idx="39">
                  <c:v>启辰</c:v>
                </c:pt>
                <c:pt idx="40">
                  <c:v>奇瑞</c:v>
                </c:pt>
                <c:pt idx="41">
                  <c:v>宝马</c:v>
                </c:pt>
                <c:pt idx="42">
                  <c:v>帝豪</c:v>
                </c:pt>
                <c:pt idx="43">
                  <c:v>广汽三菱</c:v>
                </c:pt>
                <c:pt idx="44">
                  <c:v>广汽丰田</c:v>
                </c:pt>
                <c:pt idx="45">
                  <c:v>广汽传祺</c:v>
                </c:pt>
                <c:pt idx="46">
                  <c:v>广汽传祺GA3</c:v>
                </c:pt>
                <c:pt idx="47">
                  <c:v>广汽本田</c:v>
                </c:pt>
                <c:pt idx="48">
                  <c:v>广汽菲亚特</c:v>
                </c:pt>
                <c:pt idx="49">
                  <c:v>悦达起亚</c:v>
                </c:pt>
                <c:pt idx="50">
                  <c:v>捷豹</c:v>
                </c:pt>
                <c:pt idx="51">
                  <c:v>斯巴鲁</c:v>
                </c:pt>
                <c:pt idx="52">
                  <c:v>斯柯达</c:v>
                </c:pt>
                <c:pt idx="53">
                  <c:v>林肯</c:v>
                </c:pt>
                <c:pt idx="54">
                  <c:v>欧宝</c:v>
                </c:pt>
                <c:pt idx="55">
                  <c:v>比亚迪</c:v>
                </c:pt>
                <c:pt idx="56">
                  <c:v>江淮</c:v>
                </c:pt>
                <c:pt idx="57">
                  <c:v>江铃</c:v>
                </c:pt>
                <c:pt idx="58">
                  <c:v>沃尔沃</c:v>
                </c:pt>
                <c:pt idx="59">
                  <c:v>海南马自达</c:v>
                </c:pt>
                <c:pt idx="60">
                  <c:v>特斯拉</c:v>
                </c:pt>
                <c:pt idx="61">
                  <c:v>玛莎拉蒂</c:v>
                </c:pt>
                <c:pt idx="62">
                  <c:v>福特</c:v>
                </c:pt>
                <c:pt idx="63">
                  <c:v>科雷傲</c:v>
                </c:pt>
                <c:pt idx="64">
                  <c:v>纳智捷</c:v>
                </c:pt>
                <c:pt idx="65">
                  <c:v>英伦</c:v>
                </c:pt>
                <c:pt idx="66">
                  <c:v>英菲尼迪</c:v>
                </c:pt>
                <c:pt idx="67">
                  <c:v>荣威</c:v>
                </c:pt>
                <c:pt idx="68">
                  <c:v>菲亚特</c:v>
                </c:pt>
                <c:pt idx="69">
                  <c:v>观致</c:v>
                </c:pt>
                <c:pt idx="70">
                  <c:v>讴歌</c:v>
                </c:pt>
                <c:pt idx="71">
                  <c:v>路虎</c:v>
                </c:pt>
                <c:pt idx="72">
                  <c:v>进口三菱</c:v>
                </c:pt>
                <c:pt idx="73">
                  <c:v>进口丰田</c:v>
                </c:pt>
                <c:pt idx="74">
                  <c:v>进口大众</c:v>
                </c:pt>
                <c:pt idx="75">
                  <c:v>进口标致</c:v>
                </c:pt>
                <c:pt idx="76">
                  <c:v>进口现代</c:v>
                </c:pt>
                <c:pt idx="77">
                  <c:v>进口起亚</c:v>
                </c:pt>
                <c:pt idx="78">
                  <c:v>进口铃木</c:v>
                </c:pt>
                <c:pt idx="79">
                  <c:v>进口雪铁龙</c:v>
                </c:pt>
                <c:pt idx="80">
                  <c:v>进口马自达</c:v>
                </c:pt>
                <c:pt idx="81">
                  <c:v>通用别克</c:v>
                </c:pt>
                <c:pt idx="82">
                  <c:v>长城</c:v>
                </c:pt>
                <c:pt idx="83">
                  <c:v>长安</c:v>
                </c:pt>
                <c:pt idx="84">
                  <c:v>长安汽车</c:v>
                </c:pt>
                <c:pt idx="85">
                  <c:v>长安福特</c:v>
                </c:pt>
                <c:pt idx="86">
                  <c:v>长安铃木</c:v>
                </c:pt>
                <c:pt idx="87">
                  <c:v>长安马自达</c:v>
                </c:pt>
                <c:pt idx="88">
                  <c:v>雪佛兰</c:v>
                </c:pt>
                <c:pt idx="89">
                  <c:v>雪铁龙</c:v>
                </c:pt>
                <c:pt idx="90">
                  <c:v>雷克萨斯</c:v>
                </c:pt>
                <c:pt idx="91">
                  <c:v>雷诺</c:v>
                </c:pt>
                <c:pt idx="92">
                  <c:v>马自达</c:v>
                </c:pt>
              </c:strCache>
            </c:strRef>
          </c:cat>
          <c:val>
            <c:numRef>
              <c:f>Distributions!$EL$21:$EL$114</c:f>
              <c:numCache>
                <c:formatCode>"¥"#,##0.00</c:formatCode>
                <c:ptCount val="93"/>
                <c:pt idx="0">
                  <c:v>12515542838</c:v>
                </c:pt>
                <c:pt idx="1">
                  <c:v>678000</c:v>
                </c:pt>
                <c:pt idx="2">
                  <c:v>300000</c:v>
                </c:pt>
                <c:pt idx="3">
                  <c:v>504000</c:v>
                </c:pt>
                <c:pt idx="4">
                  <c:v>6357000</c:v>
                </c:pt>
                <c:pt idx="5">
                  <c:v>1460200</c:v>
                </c:pt>
                <c:pt idx="6">
                  <c:v>599425830</c:v>
                </c:pt>
                <c:pt idx="7">
                  <c:v>5235167385</c:v>
                </c:pt>
                <c:pt idx="8">
                  <c:v>376200</c:v>
                </c:pt>
                <c:pt idx="9">
                  <c:v>2435490</c:v>
                </c:pt>
                <c:pt idx="10">
                  <c:v>8250000</c:v>
                </c:pt>
                <c:pt idx="11">
                  <c:v>8109000867</c:v>
                </c:pt>
                <c:pt idx="12">
                  <c:v>4942950</c:v>
                </c:pt>
                <c:pt idx="13">
                  <c:v>876000</c:v>
                </c:pt>
                <c:pt idx="14">
                  <c:v>1057958190</c:v>
                </c:pt>
                <c:pt idx="15">
                  <c:v>2628000</c:v>
                </c:pt>
                <c:pt idx="16">
                  <c:v>8751000</c:v>
                </c:pt>
                <c:pt idx="17">
                  <c:v>1706400</c:v>
                </c:pt>
                <c:pt idx="18">
                  <c:v>18806700</c:v>
                </c:pt>
                <c:pt idx="19">
                  <c:v>450986937</c:v>
                </c:pt>
                <c:pt idx="20">
                  <c:v>428004060</c:v>
                </c:pt>
                <c:pt idx="21">
                  <c:v>1367279115</c:v>
                </c:pt>
                <c:pt idx="22">
                  <c:v>339891750</c:v>
                </c:pt>
                <c:pt idx="23">
                  <c:v>105392520</c:v>
                </c:pt>
                <c:pt idx="24">
                  <c:v>36470700</c:v>
                </c:pt>
                <c:pt idx="25">
                  <c:v>4672500</c:v>
                </c:pt>
                <c:pt idx="26">
                  <c:v>312000</c:v>
                </c:pt>
                <c:pt idx="27">
                  <c:v>246000</c:v>
                </c:pt>
                <c:pt idx="28">
                  <c:v>186000</c:v>
                </c:pt>
                <c:pt idx="29">
                  <c:v>61524000</c:v>
                </c:pt>
                <c:pt idx="30">
                  <c:v>21090765</c:v>
                </c:pt>
                <c:pt idx="31">
                  <c:v>6605700</c:v>
                </c:pt>
                <c:pt idx="32">
                  <c:v>738431220</c:v>
                </c:pt>
                <c:pt idx="33">
                  <c:v>141701100</c:v>
                </c:pt>
                <c:pt idx="34">
                  <c:v>249000</c:v>
                </c:pt>
                <c:pt idx="35">
                  <c:v>1808670417</c:v>
                </c:pt>
                <c:pt idx="36">
                  <c:v>945000</c:v>
                </c:pt>
                <c:pt idx="37">
                  <c:v>128995680</c:v>
                </c:pt>
                <c:pt idx="38">
                  <c:v>153000</c:v>
                </c:pt>
                <c:pt idx="39">
                  <c:v>2100000</c:v>
                </c:pt>
                <c:pt idx="40">
                  <c:v>444000</c:v>
                </c:pt>
                <c:pt idx="41">
                  <c:v>114145800</c:v>
                </c:pt>
                <c:pt idx="42">
                  <c:v>35356500</c:v>
                </c:pt>
                <c:pt idx="43">
                  <c:v>20514600</c:v>
                </c:pt>
                <c:pt idx="44">
                  <c:v>460512570</c:v>
                </c:pt>
                <c:pt idx="45">
                  <c:v>19840200</c:v>
                </c:pt>
                <c:pt idx="46">
                  <c:v>157500</c:v>
                </c:pt>
                <c:pt idx="47">
                  <c:v>1611033480</c:v>
                </c:pt>
                <c:pt idx="48">
                  <c:v>4557000</c:v>
                </c:pt>
                <c:pt idx="49">
                  <c:v>609801210</c:v>
                </c:pt>
                <c:pt idx="50">
                  <c:v>71725200</c:v>
                </c:pt>
                <c:pt idx="51">
                  <c:v>151952160</c:v>
                </c:pt>
                <c:pt idx="52">
                  <c:v>125752320</c:v>
                </c:pt>
                <c:pt idx="53">
                  <c:v>17532000</c:v>
                </c:pt>
                <c:pt idx="54">
                  <c:v>423000</c:v>
                </c:pt>
                <c:pt idx="55">
                  <c:v>27922800</c:v>
                </c:pt>
                <c:pt idx="56">
                  <c:v>351000</c:v>
                </c:pt>
                <c:pt idx="57">
                  <c:v>300000</c:v>
                </c:pt>
                <c:pt idx="58">
                  <c:v>62604990</c:v>
                </c:pt>
                <c:pt idx="59">
                  <c:v>2565000</c:v>
                </c:pt>
                <c:pt idx="60">
                  <c:v>109179000</c:v>
                </c:pt>
                <c:pt idx="61">
                  <c:v>39224400</c:v>
                </c:pt>
                <c:pt idx="62">
                  <c:v>442209660</c:v>
                </c:pt>
                <c:pt idx="63">
                  <c:v>3441000</c:v>
                </c:pt>
                <c:pt idx="64">
                  <c:v>12972000</c:v>
                </c:pt>
                <c:pt idx="65">
                  <c:v>957000</c:v>
                </c:pt>
                <c:pt idx="66">
                  <c:v>31910520</c:v>
                </c:pt>
                <c:pt idx="67">
                  <c:v>23100000</c:v>
                </c:pt>
                <c:pt idx="68">
                  <c:v>22989300</c:v>
                </c:pt>
                <c:pt idx="69">
                  <c:v>2607000</c:v>
                </c:pt>
                <c:pt idx="70">
                  <c:v>16890000</c:v>
                </c:pt>
                <c:pt idx="71">
                  <c:v>166374900</c:v>
                </c:pt>
                <c:pt idx="72">
                  <c:v>36348900</c:v>
                </c:pt>
                <c:pt idx="73">
                  <c:v>2685000</c:v>
                </c:pt>
                <c:pt idx="74">
                  <c:v>119596500</c:v>
                </c:pt>
                <c:pt idx="75">
                  <c:v>2466000</c:v>
                </c:pt>
                <c:pt idx="76">
                  <c:v>41393400</c:v>
                </c:pt>
                <c:pt idx="77">
                  <c:v>46263000</c:v>
                </c:pt>
                <c:pt idx="78">
                  <c:v>9573780</c:v>
                </c:pt>
                <c:pt idx="79">
                  <c:v>54393000</c:v>
                </c:pt>
                <c:pt idx="80">
                  <c:v>1110000</c:v>
                </c:pt>
                <c:pt idx="81">
                  <c:v>2614493493</c:v>
                </c:pt>
                <c:pt idx="82">
                  <c:v>204746190</c:v>
                </c:pt>
                <c:pt idx="83">
                  <c:v>2505000</c:v>
                </c:pt>
                <c:pt idx="84">
                  <c:v>2157000</c:v>
                </c:pt>
                <c:pt idx="85">
                  <c:v>122829600</c:v>
                </c:pt>
                <c:pt idx="86">
                  <c:v>102392970</c:v>
                </c:pt>
                <c:pt idx="87">
                  <c:v>57915000</c:v>
                </c:pt>
                <c:pt idx="88">
                  <c:v>1470395742</c:v>
                </c:pt>
                <c:pt idx="89">
                  <c:v>81180240</c:v>
                </c:pt>
                <c:pt idx="90">
                  <c:v>64152000</c:v>
                </c:pt>
                <c:pt idx="91">
                  <c:v>42444000</c:v>
                </c:pt>
                <c:pt idx="92">
                  <c:v>92028000</c:v>
                </c:pt>
              </c:numCache>
            </c:numRef>
          </c:val>
        </c:ser>
        <c:ser>
          <c:idx val="5"/>
          <c:order val="5"/>
          <c:tx>
            <c:strRef>
              <c:f>Distributions!$EM$20</c:f>
              <c:strCache>
                <c:ptCount val="1"/>
                <c:pt idx="0">
                  <c:v>合同金额占比</c:v>
                </c:pt>
              </c:strCache>
            </c:strRef>
          </c:tx>
          <c:spPr>
            <a:solidFill>
              <a:schemeClr val="accent6"/>
            </a:solidFill>
            <a:ln>
              <a:noFill/>
            </a:ln>
            <a:effectLst/>
          </c:spPr>
          <c:invertIfNegative val="0"/>
          <c:cat>
            <c:strRef>
              <c:f>Distributions!$EG$21:$EG$114</c:f>
              <c:strCache>
                <c:ptCount val="93"/>
                <c:pt idx="1">
                  <c:v>674</c:v>
                </c:pt>
                <c:pt idx="2">
                  <c:v>DS</c:v>
                </c:pt>
                <c:pt idx="3">
                  <c:v>Jeep</c:v>
                </c:pt>
                <c:pt idx="4">
                  <c:v>MG</c:v>
                </c:pt>
                <c:pt idx="5">
                  <c:v>NULL</c:v>
                </c:pt>
                <c:pt idx="6">
                  <c:v>一汽丰田</c:v>
                </c:pt>
                <c:pt idx="7">
                  <c:v>一汽大众</c:v>
                </c:pt>
                <c:pt idx="8">
                  <c:v>一汽大众CC</c:v>
                </c:pt>
                <c:pt idx="9">
                  <c:v>一汽大众高尔夫</c:v>
                </c:pt>
                <c:pt idx="10">
                  <c:v>一汽奔腾</c:v>
                </c:pt>
                <c:pt idx="11">
                  <c:v>一汽奥迪</c:v>
                </c:pt>
                <c:pt idx="12">
                  <c:v>一汽奥迪二手车</c:v>
                </c:pt>
                <c:pt idx="13">
                  <c:v>一汽马自达</c:v>
                </c:pt>
                <c:pt idx="14">
                  <c:v>上海大众</c:v>
                </c:pt>
                <c:pt idx="15">
                  <c:v>上海大众朗行</c:v>
                </c:pt>
                <c:pt idx="16">
                  <c:v>上海汽车</c:v>
                </c:pt>
                <c:pt idx="17">
                  <c:v>东南三菱</c:v>
                </c:pt>
                <c:pt idx="18">
                  <c:v>东南汽车</c:v>
                </c:pt>
                <c:pt idx="19">
                  <c:v>东风悦达起亚</c:v>
                </c:pt>
                <c:pt idx="20">
                  <c:v>东风日产</c:v>
                </c:pt>
                <c:pt idx="21">
                  <c:v>东风本田</c:v>
                </c:pt>
                <c:pt idx="22">
                  <c:v>东风标致</c:v>
                </c:pt>
                <c:pt idx="23">
                  <c:v>东风裕隆</c:v>
                </c:pt>
                <c:pt idx="24">
                  <c:v>东风雪铁龙</c:v>
                </c:pt>
                <c:pt idx="25">
                  <c:v>东风风神</c:v>
                </c:pt>
                <c:pt idx="26">
                  <c:v>东风风行</c:v>
                </c:pt>
                <c:pt idx="27">
                  <c:v>众泰</c:v>
                </c:pt>
                <c:pt idx="28">
                  <c:v>传祺</c:v>
                </c:pt>
                <c:pt idx="29">
                  <c:v>保时捷</c:v>
                </c:pt>
                <c:pt idx="30">
                  <c:v>克莱斯勒</c:v>
                </c:pt>
                <c:pt idx="31">
                  <c:v>全球鹰</c:v>
                </c:pt>
                <c:pt idx="32">
                  <c:v>凯迪拉克</c:v>
                </c:pt>
                <c:pt idx="33">
                  <c:v>北京奔驰</c:v>
                </c:pt>
                <c:pt idx="34">
                  <c:v>北京汽车</c:v>
                </c:pt>
                <c:pt idx="35">
                  <c:v>北京现代</c:v>
                </c:pt>
                <c:pt idx="36">
                  <c:v>华晨中华</c:v>
                </c:pt>
                <c:pt idx="37">
                  <c:v>吉利</c:v>
                </c:pt>
                <c:pt idx="38">
                  <c:v>吉利全球鹰</c:v>
                </c:pt>
                <c:pt idx="39">
                  <c:v>启辰</c:v>
                </c:pt>
                <c:pt idx="40">
                  <c:v>奇瑞</c:v>
                </c:pt>
                <c:pt idx="41">
                  <c:v>宝马</c:v>
                </c:pt>
                <c:pt idx="42">
                  <c:v>帝豪</c:v>
                </c:pt>
                <c:pt idx="43">
                  <c:v>广汽三菱</c:v>
                </c:pt>
                <c:pt idx="44">
                  <c:v>广汽丰田</c:v>
                </c:pt>
                <c:pt idx="45">
                  <c:v>广汽传祺</c:v>
                </c:pt>
                <c:pt idx="46">
                  <c:v>广汽传祺GA3</c:v>
                </c:pt>
                <c:pt idx="47">
                  <c:v>广汽本田</c:v>
                </c:pt>
                <c:pt idx="48">
                  <c:v>广汽菲亚特</c:v>
                </c:pt>
                <c:pt idx="49">
                  <c:v>悦达起亚</c:v>
                </c:pt>
                <c:pt idx="50">
                  <c:v>捷豹</c:v>
                </c:pt>
                <c:pt idx="51">
                  <c:v>斯巴鲁</c:v>
                </c:pt>
                <c:pt idx="52">
                  <c:v>斯柯达</c:v>
                </c:pt>
                <c:pt idx="53">
                  <c:v>林肯</c:v>
                </c:pt>
                <c:pt idx="54">
                  <c:v>欧宝</c:v>
                </c:pt>
                <c:pt idx="55">
                  <c:v>比亚迪</c:v>
                </c:pt>
                <c:pt idx="56">
                  <c:v>江淮</c:v>
                </c:pt>
                <c:pt idx="57">
                  <c:v>江铃</c:v>
                </c:pt>
                <c:pt idx="58">
                  <c:v>沃尔沃</c:v>
                </c:pt>
                <c:pt idx="59">
                  <c:v>海南马自达</c:v>
                </c:pt>
                <c:pt idx="60">
                  <c:v>特斯拉</c:v>
                </c:pt>
                <c:pt idx="61">
                  <c:v>玛莎拉蒂</c:v>
                </c:pt>
                <c:pt idx="62">
                  <c:v>福特</c:v>
                </c:pt>
                <c:pt idx="63">
                  <c:v>科雷傲</c:v>
                </c:pt>
                <c:pt idx="64">
                  <c:v>纳智捷</c:v>
                </c:pt>
                <c:pt idx="65">
                  <c:v>英伦</c:v>
                </c:pt>
                <c:pt idx="66">
                  <c:v>英菲尼迪</c:v>
                </c:pt>
                <c:pt idx="67">
                  <c:v>荣威</c:v>
                </c:pt>
                <c:pt idx="68">
                  <c:v>菲亚特</c:v>
                </c:pt>
                <c:pt idx="69">
                  <c:v>观致</c:v>
                </c:pt>
                <c:pt idx="70">
                  <c:v>讴歌</c:v>
                </c:pt>
                <c:pt idx="71">
                  <c:v>路虎</c:v>
                </c:pt>
                <c:pt idx="72">
                  <c:v>进口三菱</c:v>
                </c:pt>
                <c:pt idx="73">
                  <c:v>进口丰田</c:v>
                </c:pt>
                <c:pt idx="74">
                  <c:v>进口大众</c:v>
                </c:pt>
                <c:pt idx="75">
                  <c:v>进口标致</c:v>
                </c:pt>
                <c:pt idx="76">
                  <c:v>进口现代</c:v>
                </c:pt>
                <c:pt idx="77">
                  <c:v>进口起亚</c:v>
                </c:pt>
                <c:pt idx="78">
                  <c:v>进口铃木</c:v>
                </c:pt>
                <c:pt idx="79">
                  <c:v>进口雪铁龙</c:v>
                </c:pt>
                <c:pt idx="80">
                  <c:v>进口马自达</c:v>
                </c:pt>
                <c:pt idx="81">
                  <c:v>通用别克</c:v>
                </c:pt>
                <c:pt idx="82">
                  <c:v>长城</c:v>
                </c:pt>
                <c:pt idx="83">
                  <c:v>长安</c:v>
                </c:pt>
                <c:pt idx="84">
                  <c:v>长安汽车</c:v>
                </c:pt>
                <c:pt idx="85">
                  <c:v>长安福特</c:v>
                </c:pt>
                <c:pt idx="86">
                  <c:v>长安铃木</c:v>
                </c:pt>
                <c:pt idx="87">
                  <c:v>长安马自达</c:v>
                </c:pt>
                <c:pt idx="88">
                  <c:v>雪佛兰</c:v>
                </c:pt>
                <c:pt idx="89">
                  <c:v>雪铁龙</c:v>
                </c:pt>
                <c:pt idx="90">
                  <c:v>雷克萨斯</c:v>
                </c:pt>
                <c:pt idx="91">
                  <c:v>雷诺</c:v>
                </c:pt>
                <c:pt idx="92">
                  <c:v>马自达</c:v>
                </c:pt>
              </c:strCache>
            </c:strRef>
          </c:cat>
          <c:val>
            <c:numRef>
              <c:f>Distributions!$EM$21:$EM$114</c:f>
              <c:numCache>
                <c:formatCode>0.00%</c:formatCode>
                <c:ptCount val="93"/>
                <c:pt idx="0">
                  <c:v>0.2937956065394054</c:v>
                </c:pt>
                <c:pt idx="1">
                  <c:v>1.591568370721571E-5</c:v>
                </c:pt>
                <c:pt idx="2">
                  <c:v>7.0423379235467741E-6</c:v>
                </c:pt>
                <c:pt idx="3">
                  <c:v>1.183112771155858E-5</c:v>
                </c:pt>
                <c:pt idx="4">
                  <c:v>1.4922714059995614E-4</c:v>
                </c:pt>
                <c:pt idx="5">
                  <c:v>3.4277406119876664E-5</c:v>
                </c:pt>
                <c:pt idx="6">
                  <c:v>1.4071197516541673E-2</c:v>
                </c:pt>
                <c:pt idx="7">
                  <c:v>0.12289272603833565</c:v>
                </c:pt>
                <c:pt idx="8">
                  <c:v>8.8310917561276548E-6</c:v>
                </c:pt>
                <c:pt idx="9">
                  <c:v>5.7171811964729778E-5</c:v>
                </c:pt>
                <c:pt idx="10">
                  <c:v>1.936642928975363E-4</c:v>
                </c:pt>
                <c:pt idx="11">
                  <c:v>0.1903544144258259</c:v>
                </c:pt>
                <c:pt idx="12">
                  <c:v>1.1603308079731843E-4</c:v>
                </c:pt>
                <c:pt idx="13">
                  <c:v>2.0563626736756581E-5</c:v>
                </c:pt>
                <c:pt idx="14">
                  <c:v>2.4834996943213013E-2</c:v>
                </c:pt>
                <c:pt idx="15">
                  <c:v>6.1690880210269744E-5</c:v>
                </c:pt>
                <c:pt idx="16">
                  <c:v>2.054249972298594E-4</c:v>
                </c:pt>
                <c:pt idx="17">
                  <c:v>4.0056818109134051E-5</c:v>
                </c:pt>
                <c:pt idx="18">
                  <c:v>4.4147712208922373E-4</c:v>
                </c:pt>
                <c:pt idx="19">
                  <c:v>1.0586674698197667E-2</c:v>
                </c:pt>
                <c:pt idx="20">
                  <c:v>1.0047164077233297E-2</c:v>
                </c:pt>
                <c:pt idx="21">
                  <c:v>3.2096138545459903E-2</c:v>
                </c:pt>
                <c:pt idx="22">
                  <c:v>7.9787752030855974E-3</c:v>
                </c:pt>
                <c:pt idx="23">
                  <c:v>2.4740324681805396E-3</c:v>
                </c:pt>
                <c:pt idx="24">
                  <c:v>8.5612997902765784E-4</c:v>
                </c:pt>
                <c:pt idx="25">
                  <c:v>1.0968441315924101E-4</c:v>
                </c:pt>
                <c:pt idx="26">
                  <c:v>7.3240314404886451E-6</c:v>
                </c:pt>
                <c:pt idx="27">
                  <c:v>5.7747170973083552E-6</c:v>
                </c:pt>
                <c:pt idx="28">
                  <c:v>4.3662495125990004E-6</c:v>
                </c:pt>
                <c:pt idx="29">
                  <c:v>1.4442426613609724E-3</c:v>
                </c:pt>
                <c:pt idx="30">
                  <c:v>4.9509431398704325E-4</c:v>
                </c:pt>
                <c:pt idx="31">
                  <c:v>1.5506523873857643E-4</c:v>
                </c:pt>
                <c:pt idx="32">
                  <c:v>1.733427394845637E-2</c:v>
                </c:pt>
                <c:pt idx="33">
                  <c:v>3.3263567677943129E-3</c:v>
                </c:pt>
                <c:pt idx="34">
                  <c:v>5.8451404765438223E-6</c:v>
                </c:pt>
                <c:pt idx="35">
                  <c:v>4.2457560896120863E-2</c:v>
                </c:pt>
                <c:pt idx="36">
                  <c:v>2.2183364459172339E-5</c:v>
                </c:pt>
                <c:pt idx="37">
                  <c:v>3.0281038974590137E-3</c:v>
                </c:pt>
                <c:pt idx="38">
                  <c:v>3.591592341008855E-6</c:v>
                </c:pt>
                <c:pt idx="39">
                  <c:v>4.9296365464827418E-5</c:v>
                </c:pt>
                <c:pt idx="40">
                  <c:v>1.0422660126849227E-5</c:v>
                </c:pt>
                <c:pt idx="41">
                  <c:v>2.6795109871786179E-3</c:v>
                </c:pt>
                <c:pt idx="42">
                  <c:v>8.2997473597960509E-4</c:v>
                </c:pt>
                <c:pt idx="43">
                  <c:v>4.815691518879755E-4</c:v>
                </c:pt>
                <c:pt idx="44">
                  <c:v>1.0810283786603295E-2</c:v>
                </c:pt>
                <c:pt idx="45">
                  <c:v>4.6573797623584236E-4</c:v>
                </c:pt>
                <c:pt idx="46">
                  <c:v>3.6972274098620565E-6</c:v>
                </c:pt>
                <c:pt idx="47">
                  <c:v>3.7818140574358443E-2</c:v>
                </c:pt>
                <c:pt idx="48">
                  <c:v>1.0697311305867551E-4</c:v>
                </c:pt>
                <c:pt idx="49">
                  <c:v>1.4314753956692369E-2</c:v>
                </c:pt>
                <c:pt idx="50">
                  <c:v>1.683710320113257E-3</c:v>
                </c:pt>
                <c:pt idx="51">
                  <c:v>3.5669948631094905E-3</c:v>
                </c:pt>
                <c:pt idx="52">
                  <c:v>2.951967773699965E-3</c:v>
                </c:pt>
                <c:pt idx="53">
                  <c:v>4.115542282520735E-4</c:v>
                </c:pt>
                <c:pt idx="54">
                  <c:v>9.9296964722009525E-6</c:v>
                </c:pt>
                <c:pt idx="55">
                  <c:v>6.5547264457203956E-4</c:v>
                </c:pt>
                <c:pt idx="56">
                  <c:v>8.2395353705497251E-6</c:v>
                </c:pt>
                <c:pt idx="57">
                  <c:v>7.0423379235467741E-6</c:v>
                </c:pt>
                <c:pt idx="58">
                  <c:v>1.4696183176008885E-3</c:v>
                </c:pt>
                <c:pt idx="59">
                  <c:v>6.0211989246324922E-5</c:v>
                </c:pt>
                <c:pt idx="60">
                  <c:v>2.5629180405163775E-3</c:v>
                </c:pt>
                <c:pt idx="61">
                  <c:v>9.2077159882789365E-4</c:v>
                </c:pt>
                <c:pt idx="62">
                  <c:v>1.0380632862589084E-2</c:v>
                </c:pt>
                <c:pt idx="63">
                  <c:v>8.0775615983081503E-5</c:v>
                </c:pt>
                <c:pt idx="64">
                  <c:v>3.0451069181416251E-4</c:v>
                </c:pt>
                <c:pt idx="65">
                  <c:v>2.2465057976114211E-5</c:v>
                </c:pt>
                <c:pt idx="66">
                  <c:v>7.4908221718699266E-4</c:v>
                </c:pt>
                <c:pt idx="67">
                  <c:v>5.4226002011310164E-4</c:v>
                </c:pt>
                <c:pt idx="68">
                  <c:v>5.3966139741931283E-4</c:v>
                </c:pt>
                <c:pt idx="69">
                  <c:v>6.119791655562147E-5</c:v>
                </c:pt>
                <c:pt idx="70">
                  <c:v>3.9648362509568338E-4</c:v>
                </c:pt>
                <c:pt idx="71">
                  <c:v>3.9055608926543408E-3</c:v>
                </c:pt>
                <c:pt idx="72">
                  <c:v>8.5327078983069786E-4</c:v>
                </c:pt>
                <c:pt idx="73">
                  <c:v>6.3028924415743626E-5</c:v>
                </c:pt>
                <c:pt idx="74">
                  <c:v>2.8074632249115391E-3</c:v>
                </c:pt>
                <c:pt idx="75">
                  <c:v>5.7888017731554484E-5</c:v>
                </c:pt>
                <c:pt idx="76">
                  <c:v>9.7168770201513683E-4</c:v>
                </c:pt>
                <c:pt idx="77">
                  <c:v>1.0859989311901481E-3</c:v>
                </c:pt>
                <c:pt idx="78">
                  <c:v>2.2473931321897878E-4</c:v>
                </c:pt>
                <c:pt idx="79">
                  <c:v>1.2768462889182657E-3</c:v>
                </c:pt>
                <c:pt idx="80">
                  <c:v>2.6056650317123065E-5</c:v>
                </c:pt>
                <c:pt idx="81">
                  <c:v>6.1373822255400577E-2</c:v>
                </c:pt>
                <c:pt idx="82">
                  <c:v>4.8063061951290446E-3</c:v>
                </c:pt>
                <c:pt idx="83">
                  <c:v>5.8803521661615563E-5</c:v>
                </c:pt>
                <c:pt idx="84">
                  <c:v>5.0634409670301307E-5</c:v>
                </c:pt>
                <c:pt idx="85">
                  <c:v>2.8833585007136029E-3</c:v>
                </c:pt>
                <c:pt idx="86">
                  <c:v>2.4036196524519571E-3</c:v>
                </c:pt>
                <c:pt idx="87">
                  <c:v>1.3595233361407047E-3</c:v>
                </c:pt>
                <c:pt idx="88">
                  <c:v>3.4516745655027659E-2</c:v>
                </c:pt>
                <c:pt idx="89">
                  <c:v>1.9056622759820959E-3</c:v>
                </c:pt>
                <c:pt idx="90">
                  <c:v>1.5059335415712422E-3</c:v>
                </c:pt>
                <c:pt idx="91">
                  <c:v>9.9634996942339757E-4</c:v>
                </c:pt>
                <c:pt idx="92">
                  <c:v>2.1603075814272087E-3</c:v>
                </c:pt>
              </c:numCache>
            </c:numRef>
          </c:val>
        </c:ser>
        <c:dLbls>
          <c:showLegendKey val="0"/>
          <c:showVal val="0"/>
          <c:showCatName val="0"/>
          <c:showSerName val="0"/>
          <c:showPercent val="0"/>
          <c:showBubbleSize val="0"/>
        </c:dLbls>
        <c:gapWidth val="219"/>
        <c:overlap val="-27"/>
        <c:axId val="249185456"/>
        <c:axId val="249177296"/>
      </c:barChart>
      <c:catAx>
        <c:axId val="24918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77296"/>
        <c:crosses val="autoZero"/>
        <c:auto val="1"/>
        <c:lblAlgn val="ctr"/>
        <c:lblOffset val="100"/>
        <c:noMultiLvlLbl val="0"/>
      </c:catAx>
      <c:valAx>
        <c:axId val="249177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8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[资产池日统计报表.xlsm]Distributions!ptDistIsNewAuto</c:name>
    <c:fmtId val="1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clustered"/>
        <c:varyColors val="0"/>
        <c:ser>
          <c:idx val="0"/>
          <c:order val="0"/>
          <c:tx>
            <c:strRef>
              <c:f>Distributions!$EP$20</c:f>
              <c:strCache>
                <c:ptCount val="1"/>
                <c:pt idx="0">
                  <c:v>本金余额</c:v>
                </c:pt>
              </c:strCache>
            </c:strRef>
          </c:tx>
          <c:spPr>
            <a:solidFill>
              <a:schemeClr val="accent1"/>
            </a:solidFill>
            <a:ln>
              <a:noFill/>
            </a:ln>
            <a:effectLst/>
          </c:spPr>
          <c:invertIfNegative val="0"/>
          <c:cat>
            <c:strRef>
              <c:f>Distributions!$EO$21:$EO$22</c:f>
              <c:strCache>
                <c:ptCount val="1"/>
              </c:strCache>
            </c:strRef>
          </c:cat>
          <c:val>
            <c:numRef>
              <c:f>Distributions!$EP$21:$EP$22</c:f>
              <c:numCache>
                <c:formatCode>[$¥-804]#,##0.00</c:formatCode>
                <c:ptCount val="1"/>
                <c:pt idx="0">
                  <c:v>25057705178.23019</c:v>
                </c:pt>
              </c:numCache>
            </c:numRef>
          </c:val>
        </c:ser>
        <c:ser>
          <c:idx val="1"/>
          <c:order val="1"/>
          <c:tx>
            <c:strRef>
              <c:f>Distributions!$EQ$20</c:f>
              <c:strCache>
                <c:ptCount val="1"/>
                <c:pt idx="0">
                  <c:v>本金余额占比</c:v>
                </c:pt>
              </c:strCache>
            </c:strRef>
          </c:tx>
          <c:spPr>
            <a:solidFill>
              <a:schemeClr val="accent2"/>
            </a:solidFill>
            <a:ln>
              <a:noFill/>
            </a:ln>
            <a:effectLst/>
          </c:spPr>
          <c:invertIfNegative val="0"/>
          <c:cat>
            <c:strRef>
              <c:f>Distributions!$EO$21:$EO$22</c:f>
              <c:strCache>
                <c:ptCount val="1"/>
              </c:strCache>
            </c:strRef>
          </c:cat>
          <c:val>
            <c:numRef>
              <c:f>Distributions!$EQ$21:$EQ$22</c:f>
              <c:numCache>
                <c:formatCode>0.00%</c:formatCode>
                <c:ptCount val="1"/>
                <c:pt idx="0">
                  <c:v>1.0000000000000131</c:v>
                </c:pt>
              </c:numCache>
            </c:numRef>
          </c:val>
        </c:ser>
        <c:ser>
          <c:idx val="2"/>
          <c:order val="2"/>
          <c:tx>
            <c:strRef>
              <c:f>Distributions!$ER$20</c:f>
              <c:strCache>
                <c:ptCount val="1"/>
                <c:pt idx="0">
                  <c:v>贷款笔数</c:v>
                </c:pt>
              </c:strCache>
            </c:strRef>
          </c:tx>
          <c:spPr>
            <a:solidFill>
              <a:schemeClr val="accent3"/>
            </a:solidFill>
            <a:ln>
              <a:noFill/>
            </a:ln>
            <a:effectLst/>
          </c:spPr>
          <c:invertIfNegative val="0"/>
          <c:cat>
            <c:strRef>
              <c:f>Distributions!$EO$21:$EO$22</c:f>
              <c:strCache>
                <c:ptCount val="1"/>
              </c:strCache>
            </c:strRef>
          </c:cat>
          <c:val>
            <c:numRef>
              <c:f>Distributions!$ER$21:$ER$22</c:f>
              <c:numCache>
                <c:formatCode>#,##0;\-#,##0</c:formatCode>
                <c:ptCount val="1"/>
                <c:pt idx="0">
                  <c:v>280106</c:v>
                </c:pt>
              </c:numCache>
            </c:numRef>
          </c:val>
        </c:ser>
        <c:ser>
          <c:idx val="3"/>
          <c:order val="3"/>
          <c:tx>
            <c:strRef>
              <c:f>Distributions!$ES$20</c:f>
              <c:strCache>
                <c:ptCount val="1"/>
                <c:pt idx="0">
                  <c:v>贷款笔数占比</c:v>
                </c:pt>
              </c:strCache>
            </c:strRef>
          </c:tx>
          <c:spPr>
            <a:solidFill>
              <a:schemeClr val="accent4"/>
            </a:solidFill>
            <a:ln>
              <a:noFill/>
            </a:ln>
            <a:effectLst/>
          </c:spPr>
          <c:invertIfNegative val="0"/>
          <c:cat>
            <c:strRef>
              <c:f>Distributions!$EO$21:$EO$22</c:f>
              <c:strCache>
                <c:ptCount val="1"/>
              </c:strCache>
            </c:strRef>
          </c:cat>
          <c:val>
            <c:numRef>
              <c:f>Distributions!$ES$21:$ES$22</c:f>
              <c:numCache>
                <c:formatCode>0.00%</c:formatCode>
                <c:ptCount val="1"/>
                <c:pt idx="0">
                  <c:v>1</c:v>
                </c:pt>
              </c:numCache>
            </c:numRef>
          </c:val>
        </c:ser>
        <c:ser>
          <c:idx val="4"/>
          <c:order val="4"/>
          <c:tx>
            <c:strRef>
              <c:f>Distributions!$ET$20</c:f>
              <c:strCache>
                <c:ptCount val="1"/>
                <c:pt idx="0">
                  <c:v>合同金额</c:v>
                </c:pt>
              </c:strCache>
            </c:strRef>
          </c:tx>
          <c:spPr>
            <a:solidFill>
              <a:schemeClr val="accent5"/>
            </a:solidFill>
            <a:ln>
              <a:noFill/>
            </a:ln>
            <a:effectLst/>
          </c:spPr>
          <c:invertIfNegative val="0"/>
          <c:cat>
            <c:strRef>
              <c:f>Distributions!$EO$21:$EO$22</c:f>
              <c:strCache>
                <c:ptCount val="1"/>
              </c:strCache>
            </c:strRef>
          </c:cat>
          <c:val>
            <c:numRef>
              <c:f>Distributions!$ET$21:$ET$22</c:f>
              <c:numCache>
                <c:formatCode>"¥"#,##0.00</c:formatCode>
                <c:ptCount val="1"/>
                <c:pt idx="0">
                  <c:v>42599489439</c:v>
                </c:pt>
              </c:numCache>
            </c:numRef>
          </c:val>
        </c:ser>
        <c:ser>
          <c:idx val="5"/>
          <c:order val="5"/>
          <c:tx>
            <c:strRef>
              <c:f>Distributions!$EU$20</c:f>
              <c:strCache>
                <c:ptCount val="1"/>
                <c:pt idx="0">
                  <c:v>合同金额占比</c:v>
                </c:pt>
              </c:strCache>
            </c:strRef>
          </c:tx>
          <c:spPr>
            <a:solidFill>
              <a:schemeClr val="accent6"/>
            </a:solidFill>
            <a:ln>
              <a:noFill/>
            </a:ln>
            <a:effectLst/>
          </c:spPr>
          <c:invertIfNegative val="0"/>
          <c:cat>
            <c:strRef>
              <c:f>Distributions!$EO$21:$EO$22</c:f>
              <c:strCache>
                <c:ptCount val="1"/>
              </c:strCache>
            </c:strRef>
          </c:cat>
          <c:val>
            <c:numRef>
              <c:f>Distributions!$EU$21:$EU$22</c:f>
              <c:numCache>
                <c:formatCode>0.00%</c:formatCode>
                <c:ptCount val="1"/>
                <c:pt idx="0">
                  <c:v>1</c:v>
                </c:pt>
              </c:numCache>
            </c:numRef>
          </c:val>
        </c:ser>
        <c:dLbls>
          <c:showLegendKey val="0"/>
          <c:showVal val="0"/>
          <c:showCatName val="0"/>
          <c:showSerName val="0"/>
          <c:showPercent val="0"/>
          <c:showBubbleSize val="0"/>
        </c:dLbls>
        <c:gapWidth val="219"/>
        <c:overlap val="-27"/>
        <c:axId val="249176752"/>
        <c:axId val="249180016"/>
      </c:barChart>
      <c:catAx>
        <c:axId val="24917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80016"/>
        <c:crosses val="autoZero"/>
        <c:auto val="1"/>
        <c:lblAlgn val="ctr"/>
        <c:lblOffset val="100"/>
        <c:noMultiLvlLbl val="0"/>
      </c:catAx>
      <c:valAx>
        <c:axId val="249180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76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4.emf"/><Relationship Id="rId18" Type="http://schemas.openxmlformats.org/officeDocument/2006/relationships/image" Target="../media/image18.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3.emf"/><Relationship Id="rId17" Type="http://schemas.openxmlformats.org/officeDocument/2006/relationships/image" Target="../media/image17.emf"/><Relationship Id="rId2" Type="http://schemas.openxmlformats.org/officeDocument/2006/relationships/image" Target="../media/image12.emf"/><Relationship Id="rId16" Type="http://schemas.openxmlformats.org/officeDocument/2006/relationships/image" Target="../media/image1.emf"/><Relationship Id="rId20" Type="http://schemas.openxmlformats.org/officeDocument/2006/relationships/image" Target="../media/image20.emf"/><Relationship Id="rId1" Type="http://schemas.openxmlformats.org/officeDocument/2006/relationships/image" Target="../media/image16.emf"/><Relationship Id="rId6" Type="http://schemas.openxmlformats.org/officeDocument/2006/relationships/image" Target="../media/image8.emf"/><Relationship Id="rId11" Type="http://schemas.openxmlformats.org/officeDocument/2006/relationships/image" Target="../media/image14.emf"/><Relationship Id="rId5" Type="http://schemas.openxmlformats.org/officeDocument/2006/relationships/image" Target="../media/image9.emf"/><Relationship Id="rId15" Type="http://schemas.openxmlformats.org/officeDocument/2006/relationships/image" Target="../media/image2.emf"/><Relationship Id="rId23" Type="http://schemas.openxmlformats.org/officeDocument/2006/relationships/image" Target="../media/image23.emf"/><Relationship Id="rId10" Type="http://schemas.openxmlformats.org/officeDocument/2006/relationships/image" Target="../media/image15.emf"/><Relationship Id="rId19" Type="http://schemas.openxmlformats.org/officeDocument/2006/relationships/image" Target="../media/image19.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1333500</xdr:colOff>
          <xdr:row>0</xdr:row>
          <xdr:rowOff>619125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xdr:row>
          <xdr:rowOff>104775</xdr:rowOff>
        </xdr:from>
        <xdr:to>
          <xdr:col>2</xdr:col>
          <xdr:colOff>1552575</xdr:colOff>
          <xdr:row>4</xdr:row>
          <xdr:rowOff>371475</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6</xdr:row>
          <xdr:rowOff>104775</xdr:rowOff>
        </xdr:from>
        <xdr:to>
          <xdr:col>2</xdr:col>
          <xdr:colOff>1552575</xdr:colOff>
          <xdr:row>6</xdr:row>
          <xdr:rowOff>371475</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1552575</xdr:colOff>
          <xdr:row>7</xdr:row>
          <xdr:rowOff>371475</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1552575</xdr:colOff>
          <xdr:row>8</xdr:row>
          <xdr:rowOff>371475</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104775</xdr:rowOff>
        </xdr:from>
        <xdr:to>
          <xdr:col>2</xdr:col>
          <xdr:colOff>1552575</xdr:colOff>
          <xdr:row>10</xdr:row>
          <xdr:rowOff>371475</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1552575</xdr:colOff>
          <xdr:row>12</xdr:row>
          <xdr:rowOff>371475</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1552575</xdr:colOff>
          <xdr:row>23</xdr:row>
          <xdr:rowOff>371475</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15</xdr:row>
          <xdr:rowOff>104775</xdr:rowOff>
        </xdr:from>
        <xdr:to>
          <xdr:col>2</xdr:col>
          <xdr:colOff>1552575</xdr:colOff>
          <xdr:row>15</xdr:row>
          <xdr:rowOff>371475</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1552575</xdr:colOff>
          <xdr:row>18</xdr:row>
          <xdr:rowOff>371475</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1552575</xdr:colOff>
          <xdr:row>16</xdr:row>
          <xdr:rowOff>371475</xdr:rowOff>
        </xdr:to>
        <xdr:sp macro="" textlink="">
          <xdr:nvSpPr>
            <xdr:cNvPr id="1038" name="btnptDistGuaranteeTyp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28</xdr:row>
          <xdr:rowOff>104775</xdr:rowOff>
        </xdr:from>
        <xdr:to>
          <xdr:col>2</xdr:col>
          <xdr:colOff>1552575</xdr:colOff>
          <xdr:row>28</xdr:row>
          <xdr:rowOff>371475</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xdr:row>
          <xdr:rowOff>66675</xdr:rowOff>
        </xdr:from>
        <xdr:to>
          <xdr:col>4</xdr:col>
          <xdr:colOff>228600</xdr:colOff>
          <xdr:row>3</xdr:row>
          <xdr:rowOff>390525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1552575</xdr:colOff>
          <xdr:row>24</xdr:row>
          <xdr:rowOff>371475</xdr:rowOff>
        </xdr:to>
        <xdr:sp macro="" textlink="">
          <xdr:nvSpPr>
            <xdr:cNvPr id="1058" name="btnptDistLTV"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1552575</xdr:colOff>
          <xdr:row>26</xdr:row>
          <xdr:rowOff>371475</xdr:rowOff>
        </xdr:to>
        <xdr:sp macro="" textlink="">
          <xdr:nvSpPr>
            <xdr:cNvPr id="1059" name="btnptDistIsNewAuto"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1" name="btnptDistAutoBrand"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1552575</xdr:colOff>
          <xdr:row>19</xdr:row>
          <xdr:rowOff>371475</xdr:rowOff>
        </xdr:to>
        <xdr:sp macro="" textlink="">
          <xdr:nvSpPr>
            <xdr:cNvPr id="1063" name="btnptDistInterestType"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1552575</xdr:colOff>
          <xdr:row>11</xdr:row>
          <xdr:rowOff>371475</xdr:rowOff>
        </xdr:to>
        <xdr:sp macro="" textlink="">
          <xdr:nvSpPr>
            <xdr:cNvPr id="1064" name="btnptDistContractAmount"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104775</xdr:rowOff>
        </xdr:from>
        <xdr:to>
          <xdr:col>2</xdr:col>
          <xdr:colOff>1552575</xdr:colOff>
          <xdr:row>14</xdr:row>
          <xdr:rowOff>371475</xdr:rowOff>
        </xdr:to>
        <xdr:sp macro="" textlink="">
          <xdr:nvSpPr>
            <xdr:cNvPr id="1065" name="btnptDistLoan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1552575</xdr:colOff>
          <xdr:row>17</xdr:row>
          <xdr:rowOff>371475</xdr:rowOff>
        </xdr:to>
        <xdr:sp macro="" textlink="">
          <xdr:nvSpPr>
            <xdr:cNvPr id="1066" name="btnptDistPaymentType"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1552575</xdr:colOff>
          <xdr:row>20</xdr:row>
          <xdr:rowOff>371475</xdr:rowOff>
        </xdr:to>
        <xdr:sp macro="" textlink="">
          <xdr:nvSpPr>
            <xdr:cNvPr id="1067" name="btnptDistAnnualIncome"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1552575</xdr:colOff>
          <xdr:row>21</xdr:row>
          <xdr:rowOff>371475</xdr:rowOff>
        </xdr:to>
        <xdr:sp macro="" textlink="">
          <xdr:nvSpPr>
            <xdr:cNvPr id="1068" name="btnptDistAge"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1552575</xdr:colOff>
          <xdr:row>22</xdr:row>
          <xdr:rowOff>371475</xdr:rowOff>
        </xdr:to>
        <xdr:sp macro="" textlink="">
          <xdr:nvSpPr>
            <xdr:cNvPr id="1069" name="btnptDistCreditScore"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23813</xdr:colOff>
      <xdr:row>0</xdr:row>
      <xdr:rowOff>138111</xdr:rowOff>
    </xdr:from>
    <xdr:to>
      <xdr:col>6</xdr:col>
      <xdr:colOff>904875</xdr:colOff>
      <xdr:row>16</xdr:row>
      <xdr:rowOff>130968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83343</xdr:colOff>
      <xdr:row>0</xdr:row>
      <xdr:rowOff>126206</xdr:rowOff>
    </xdr:from>
    <xdr:to>
      <xdr:col>14</xdr:col>
      <xdr:colOff>881062</xdr:colOff>
      <xdr:row>16</xdr:row>
      <xdr:rowOff>71438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95248</xdr:colOff>
      <xdr:row>0</xdr:row>
      <xdr:rowOff>83344</xdr:rowOff>
    </xdr:from>
    <xdr:to>
      <xdr:col>22</xdr:col>
      <xdr:colOff>857250</xdr:colOff>
      <xdr:row>16</xdr:row>
      <xdr:rowOff>107156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59531</xdr:colOff>
      <xdr:row>0</xdr:row>
      <xdr:rowOff>107156</xdr:rowOff>
    </xdr:from>
    <xdr:to>
      <xdr:col>30</xdr:col>
      <xdr:colOff>845344</xdr:colOff>
      <xdr:row>16</xdr:row>
      <xdr:rowOff>130969</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71437</xdr:colOff>
      <xdr:row>0</xdr:row>
      <xdr:rowOff>45242</xdr:rowOff>
    </xdr:from>
    <xdr:to>
      <xdr:col>46</xdr:col>
      <xdr:colOff>928687</xdr:colOff>
      <xdr:row>16</xdr:row>
      <xdr:rowOff>142875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2380</xdr:colOff>
      <xdr:row>0</xdr:row>
      <xdr:rowOff>95250</xdr:rowOff>
    </xdr:from>
    <xdr:to>
      <xdr:col>54</xdr:col>
      <xdr:colOff>881062</xdr:colOff>
      <xdr:row>16</xdr:row>
      <xdr:rowOff>71437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107157</xdr:colOff>
      <xdr:row>0</xdr:row>
      <xdr:rowOff>140492</xdr:rowOff>
    </xdr:from>
    <xdr:to>
      <xdr:col>62</xdr:col>
      <xdr:colOff>869156</xdr:colOff>
      <xdr:row>16</xdr:row>
      <xdr:rowOff>95249</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64</xdr:col>
      <xdr:colOff>35720</xdr:colOff>
      <xdr:row>0</xdr:row>
      <xdr:rowOff>107156</xdr:rowOff>
    </xdr:from>
    <xdr:to>
      <xdr:col>70</xdr:col>
      <xdr:colOff>857250</xdr:colOff>
      <xdr:row>16</xdr:row>
      <xdr:rowOff>95250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72</xdr:col>
      <xdr:colOff>35718</xdr:colOff>
      <xdr:row>0</xdr:row>
      <xdr:rowOff>47623</xdr:rowOff>
    </xdr:from>
    <xdr:to>
      <xdr:col>78</xdr:col>
      <xdr:colOff>904874</xdr:colOff>
      <xdr:row>16</xdr:row>
      <xdr:rowOff>59530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80</xdr:col>
      <xdr:colOff>19050</xdr:colOff>
      <xdr:row>0</xdr:row>
      <xdr:rowOff>40483</xdr:rowOff>
    </xdr:from>
    <xdr:to>
      <xdr:col>86</xdr:col>
      <xdr:colOff>916781</xdr:colOff>
      <xdr:row>16</xdr:row>
      <xdr:rowOff>107157</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96</xdr:col>
      <xdr:colOff>23813</xdr:colOff>
      <xdr:row>0</xdr:row>
      <xdr:rowOff>71438</xdr:rowOff>
    </xdr:from>
    <xdr:to>
      <xdr:col>102</xdr:col>
      <xdr:colOff>904874</xdr:colOff>
      <xdr:row>16</xdr:row>
      <xdr:rowOff>95250</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104</xdr:col>
      <xdr:colOff>59531</xdr:colOff>
      <xdr:row>0</xdr:row>
      <xdr:rowOff>47625</xdr:rowOff>
    </xdr:from>
    <xdr:to>
      <xdr:col>110</xdr:col>
      <xdr:colOff>928687</xdr:colOff>
      <xdr:row>16</xdr:row>
      <xdr:rowOff>142875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112</xdr:col>
      <xdr:colOff>35719</xdr:colOff>
      <xdr:row>0</xdr:row>
      <xdr:rowOff>47625</xdr:rowOff>
    </xdr:from>
    <xdr:to>
      <xdr:col>118</xdr:col>
      <xdr:colOff>904875</xdr:colOff>
      <xdr:row>16</xdr:row>
      <xdr:rowOff>142875</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32</xdr:col>
      <xdr:colOff>35718</xdr:colOff>
      <xdr:row>0</xdr:row>
      <xdr:rowOff>119063</xdr:rowOff>
    </xdr:from>
    <xdr:to>
      <xdr:col>38</xdr:col>
      <xdr:colOff>881062</xdr:colOff>
      <xdr:row>16</xdr:row>
      <xdr:rowOff>166687</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88</xdr:col>
      <xdr:colOff>35718</xdr:colOff>
      <xdr:row>0</xdr:row>
      <xdr:rowOff>35718</xdr:rowOff>
    </xdr:from>
    <xdr:to>
      <xdr:col>94</xdr:col>
      <xdr:colOff>940593</xdr:colOff>
      <xdr:row>16</xdr:row>
      <xdr:rowOff>130968</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120</xdr:col>
      <xdr:colOff>83343</xdr:colOff>
      <xdr:row>0</xdr:row>
      <xdr:rowOff>59532</xdr:rowOff>
    </xdr:from>
    <xdr:to>
      <xdr:col>126</xdr:col>
      <xdr:colOff>904875</xdr:colOff>
      <xdr:row>16</xdr:row>
      <xdr:rowOff>119062</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47625</xdr:colOff>
      <xdr:row>0</xdr:row>
      <xdr:rowOff>71437</xdr:rowOff>
    </xdr:from>
    <xdr:to>
      <xdr:col>134</xdr:col>
      <xdr:colOff>869156</xdr:colOff>
      <xdr:row>16</xdr:row>
      <xdr:rowOff>130969</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136</xdr:col>
      <xdr:colOff>47625</xdr:colOff>
      <xdr:row>0</xdr:row>
      <xdr:rowOff>47624</xdr:rowOff>
    </xdr:from>
    <xdr:to>
      <xdr:col>140</xdr:col>
      <xdr:colOff>1226343</xdr:colOff>
      <xdr:row>16</xdr:row>
      <xdr:rowOff>83343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144</xdr:col>
      <xdr:colOff>95249</xdr:colOff>
      <xdr:row>0</xdr:row>
      <xdr:rowOff>71437</xdr:rowOff>
    </xdr:from>
    <xdr:to>
      <xdr:col>150</xdr:col>
      <xdr:colOff>845343</xdr:colOff>
      <xdr:row>16</xdr:row>
      <xdr:rowOff>119062</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0</xdr:row>
      <xdr:rowOff>66675</xdr:rowOff>
    </xdr:from>
    <xdr:to>
      <xdr:col>0</xdr:col>
      <xdr:colOff>1885950</xdr:colOff>
      <xdr:row>13</xdr:row>
      <xdr:rowOff>114300</xdr:rowOff>
    </xdr:to>
    <mc:AlternateContent xmlns:mc="http://schemas.openxmlformats.org/markup-compatibility/2006" xmlns:a14="http://schemas.microsoft.com/office/drawing/2010/main">
      <mc:Choice Requires="a14">
        <xdr:graphicFrame macro="">
          <xdr:nvGraphicFramePr>
            <xdr:cNvPr id="2" name="Date 1"/>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57150" y="66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Local Dev" refreshedDate="42705.499030787039" backgroundQuery="1" createdVersion="4" refreshedVersion="5" minRefreshableVersion="3" recordCount="0" supportSubquery="1" supportAdvancedDrill="1">
  <cacheSource type="external" connectionId="1"/>
  <cacheFields count="3">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Date].[Date].[Date].[Dim Date ID]" caption="Dim Date ID" propertyName="Dim Date ID" numFmtId="0" hierarchy="9" level="1" memberPropertyField="1">
      <sharedItems containsSemiMixedTypes="0" containsString="0"/>
    </cacheField>
  </cacheFields>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cacheHierarchy uniqueName="[Measures].[Current Principal Balance]" caption="资产池未偿本金余额总额" measure="1" displayFolder="" measureGroup="View Fact Loan" count="0"/>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Local Dev" refreshedDate="42705.499037268521"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Principal Balance Distribution].[Distributions Desc].[Distributions Desc]" caption="Distributions Desc" numFmtId="0" hierarchy="34" level="1" mappingCount="1">
      <sharedItems count="21">
        <s v="[Principal Balance Distribution].[Distributions Desc].&amp;[0万元 - 5万元(不含)]" c="0万元 - 5万元(不含)" cp="1">
          <x/>
        </s>
        <s v="[Principal Balance Distribution].[Distributions Desc].&amp;[5万元 - 10万元(不含)]" c="5万元 - 10万元(不含)" cp="1">
          <x v="1"/>
        </s>
        <s v="[Principal Balance Distribution].[Distributions Desc].&amp;[10万元 - 15万元(不含)]" c="10万元 - 15万元(不含)" cp="1">
          <x v="2"/>
        </s>
        <s v="[Principal Balance Distribution].[Distributions Desc].&amp;[15万元 - 20万元(不含)]" c="15万元 - 20万元(不含)" cp="1">
          <x v="3"/>
        </s>
        <s v="[Principal Balance Distribution].[Distributions Desc].&amp;[20万元 - 25万元(不含)]" c="20万元 - 25万元(不含)" cp="1">
          <x v="4"/>
        </s>
        <s v="[Principal Balance Distribution].[Distributions Desc].&amp;[25万元 - 30万元(不含)]" c="25万元 - 30万元(不含)" cp="1">
          <x v="5"/>
        </s>
        <s v="[Principal Balance Distribution].[Distributions Desc].&amp;[30万元 - 35万元(不含)]" c="30万元 - 35万元(不含)" cp="1">
          <x v="6"/>
        </s>
        <s v="[Principal Balance Distribution].[Distributions Desc].&amp;[35万元 - 40万元(不含)]" c="35万元 - 40万元(不含)" cp="1">
          <x v="7"/>
        </s>
        <s v="[Principal Balance Distribution].[Distributions Desc].&amp;[40万元 - 45万元(不含)]" c="40万元 - 45万元(不含)" cp="1">
          <x v="8"/>
        </s>
        <s v="[Principal Balance Distribution].[Distributions Desc].&amp;[45万元 - 50万元(不含)]" c="45万元 - 50万元(不含)" cp="1">
          <x v="9"/>
        </s>
        <s v="[Principal Balance Distribution].[Distributions Desc].&amp;[50万元 - 55万元(不含)]" c="50万元 - 55万元(不含)" cp="1">
          <x v="10"/>
        </s>
        <s v="[Principal Balance Distribution].[Distributions Desc].&amp;[55万元 - 60万元(不含)]" c="55万元 - 60万元(不含)" cp="1">
          <x v="11"/>
        </s>
        <s v="[Principal Balance Distribution].[Distributions Desc].&amp;[60万元 - 65万元(不含)]" c="60万元 - 65万元(不含)" cp="1">
          <x v="12"/>
        </s>
        <s v="[Principal Balance Distribution].[Distributions Desc].&amp;[65万元 - 70万元(不含)]" c="65万元 - 70万元(不含)" cp="1">
          <x v="13"/>
        </s>
        <s v="[Principal Balance Distribution].[Distributions Desc].&amp;[70万元 - 75万元(不含)]" c="70万元 - 75万元(不含)" cp="1">
          <x v="14"/>
        </s>
        <s v="[Principal Balance Distribution].[Distributions Desc].&amp;[75万元 - 80万元(不含)]" c="75万元 - 80万元(不含)" cp="1">
          <x v="15"/>
        </s>
        <s v="[Principal Balance Distribution].[Distributions Desc].&amp;[80万元 - 85万元(不含)]" c="80万元 - 85万元(不含)" cp="1">
          <x v="16"/>
        </s>
        <s v="[Principal Balance Distribution].[Distributions Desc].&amp;[85万元 - 90万元(不含)]" c="85万元 - 90万元(不含)" cp="1">
          <x v="17"/>
        </s>
        <s v="[Principal Balance Distribution].[Distributions Desc].&amp;[90万元 - 95万元(不含)]" c="90万元 - 95万元(不含)" cp="1">
          <x v="18"/>
        </s>
        <s v="[Principal Balance Distribution].[Distributions Desc].&amp;[95万元 - 100万元(不含)]" c="95万元 - 100万元(不含)" cp="1">
          <x v="19"/>
        </s>
        <s v="[Principal Balance Distribution].[Distributions Desc].&amp;[100万元以上]" c="100万元以上" cp="1">
          <x v="20"/>
        </s>
      </sharedItems>
      <mpMap v="5"/>
    </cacheField>
    <cacheField name="[Principal Balance Distribution].[Distributions Desc].[Distributions Desc].[Sort Key]" caption="Sort Key" propertyName="Sort Key" numFmtId="0" hierarchy="34"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Date].[Date].[Date].[Dim Date ID]" caption="Dim Date ID" propertyName="Dim Date ID" numFmtId="0" hierarchy="9" level="1" memberPropertyField="1">
      <sharedItems containsSemiMixedTypes="0" containsString="0"/>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4"/>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7"/>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Local Dev" refreshedDate="42705.499039699076"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31" level="1" mappingCount="1">
      <sharedItems count="5">
        <s v="[Loan Term Distribution].[Distributions Desc].&amp;[小于等于 24 个月]" c="小于等于 24 个月" cp="1">
          <x/>
        </s>
        <s v="[Loan Term Distribution].[Distributions Desc].&amp;[24-36 个月(含)]" c="24-36 个月(含)" cp="1">
          <x v="1"/>
        </s>
        <s v="[Loan Term Distribution].[Distributions Desc].&amp;[36-48 个月(含)]" c="36-48 个月(含)" cp="1">
          <x v="2"/>
        </s>
        <s v="[Loan Term Distribution].[Distributions Desc].&amp;[48-60 个月(含)]" c="48-60 个月(含)" cp="1">
          <x v="3"/>
        </s>
        <s v="[Loan Term Distribution].[Distributions Desc].&amp;[大于 60 个月]" c="大于 60 个月" cp="1">
          <x v="4"/>
        </s>
      </sharedItems>
      <mpMap v="1"/>
    </cacheField>
    <cacheField name="[Loan Term Distribution].[Distributions Desc].[Distributions Desc].[Sort Key]" caption="Sort Key" propertyName="Sort Key" numFmtId="0" hierarchy="31" level="1" memberPropertyField="1">
      <sharedItems containsSemiMixedTypes="0" containsString="0" containsNumber="1" containsInteger="1" minValue="10" maxValue="50" count="5">
        <n v="10"/>
        <n v="20"/>
        <n v="30"/>
        <n v="40"/>
        <n v="50"/>
      </sharedItems>
    </cacheField>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Date].[Date].[Date].[Dim Date ID]" caption="Dim Date ID" propertyName="Dim Date ID" numFmtId="0" hierarchy="9" level="1" memberPropertyField="1">
      <sharedItems containsSemiMixedTypes="0" containsString="0"/>
    </cacheField>
    <cacheField name="[Measures].[Loan Count]" caption="贷款笔数" numFmtId="0" hierarchy="100" level="32767"/>
    <cacheField name="[Measures].[% Loan Count]" caption="贷款笔数占比" numFmtId="0" hierarchy="131" level="32767"/>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2"/>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8"/>
      </fieldsUsage>
    </cacheHierarchy>
    <cacheHierarchy uniqueName="[Measures].[Current Principal Balance]" caption="资产池未偿本金余额总额" measure="1" displayFolder="" measureGroup="View Fact Loan" count="0" oneField="1">
      <fieldsUsage count="1">
        <fieldUsage x="4"/>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6"/>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oneField="1">
      <fieldsUsage count="1">
        <fieldUsage x="7"/>
      </fieldsUsage>
    </cacheHierarchy>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Local Dev" refreshedDate="42705.49904166667"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Seasoning Distribution].[Distributions Desc].[Distributions Desc]" caption="Distributions Desc" numFmtId="0" hierarchy="40" level="1" mappingCount="1">
      <sharedItems count="3">
        <s v="[Seasoning Distribution].[Distributions Desc].&amp;[12（含）-15 个月（不含）]" c="12（含）-15 个月（不含）" cp="1">
          <x/>
        </s>
        <s v="[Seasoning Distribution].[Distributions Desc].&amp;[24（含）-27 个月（不含）]" c="24（含）-27 个月（不含）" cp="1">
          <x v="1"/>
        </s>
        <s v="[Seasoning Distribution].[Distributions Desc].&amp;[36（含）-39 个月（不含）]" c="36（含）-39 个月（不含）" cp="1">
          <x v="2"/>
        </s>
      </sharedItems>
      <mpMap v="5"/>
    </cacheField>
    <cacheField name="[Seasoning Distribution].[Distributions Desc].[Distributions Desc].[Sort Key]" caption="Sort Key" propertyName="Sort Key" numFmtId="0" hierarchy="40" level="1" memberPropertyField="1">
      <sharedItems containsSemiMixedTypes="0" containsString="0" containsNumber="1" containsInteger="1" minValue="25" maxValue="70" count="3">
        <n v="25"/>
        <n v="50"/>
        <n v="70"/>
      </sharedItems>
    </cacheField>
    <cacheField name="[Date].[Date].[Date].[Dim Date ID]" caption="Dim Date ID" propertyName="Dim Date ID" numFmtId="0" hierarchy="9" level="1" memberPropertyField="1">
      <sharedItems containsSemiMixedTypes="0" containsString="0"/>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4"/>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7"/>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Local Dev" refreshedDate="42705.499043981479"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Remaining Term Distribution].[Distributions Desc].[Distributions Desc]" caption="Distributions Desc" numFmtId="0" hierarchy="37" level="1" mappingCount="1">
      <sharedItems count="5">
        <s v="[Remaining Term Distribution].[Distributions Desc].&amp;[小于等于 24 个月]" c="小于等于 24 个月" cp="1">
          <x/>
        </s>
        <s v="[Remaining Term Distribution].[Distributions Desc].&amp;[24-36 个月(含)]" c="24-36 个月(含)" cp="1">
          <x v="1"/>
        </s>
        <s v="[Remaining Term Distribution].[Distributions Desc].&amp;[36-48 个月(含)]" c="36-48 个月(含)" cp="1">
          <x v="2"/>
        </s>
        <s v="[Remaining Term Distribution].[Distributions Desc].&amp;[48-60 个月(含)]" c="48-60 个月(含)" cp="1">
          <x v="3"/>
        </s>
        <s v="[Remaining Term Distribution].[Distributions Desc].&amp;[大于 60 个月]" c="大于 60 个月" cp="1">
          <x v="4"/>
        </s>
      </sharedItems>
      <mpMap v="5"/>
    </cacheField>
    <cacheField name="[Remaining Term Distribution].[Distributions Desc].[Distributions Desc].[Sort Key]" caption="Sort Key" propertyName="Sort Key" numFmtId="0" hierarchy="37" level="1" memberPropertyField="1">
      <sharedItems containsSemiMixedTypes="0" containsString="0" containsNumber="1" containsInteger="1" minValue="10" maxValue="50" count="5">
        <n v="10"/>
        <n v="20"/>
        <n v="30"/>
        <n v="40"/>
        <n v="50"/>
      </sharedItems>
    </cacheField>
    <cacheField name="[Date].[Date].[Date].[Dim Date ID]" caption="Dim Date ID" propertyName="Dim Date ID" numFmtId="0" hierarchy="9" level="1" memberPropertyField="1">
      <sharedItems containsSemiMixedTypes="0" containsString="0"/>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4"/>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7"/>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Local Dev" refreshedDate="42705.499045949073"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View Approval Amount Distribution].[Distributions Desc].[Distributions Desc]" caption="Distributions Desc" numFmtId="0" hierarchy="51" level="1" mappingCount="1">
      <sharedItems count="6">
        <s v="[View Approval Amount Distribution].[Distributions Desc].&amp;[50万元以内（含）]" c="50万元以内（含）" cp="1">
          <x/>
        </s>
        <s v="[View Approval Amount Distribution].[Distributions Desc].&amp;[50万元（不含）-100万元（含）]" c="50万元（不含）-100万元（含）" cp="1">
          <x v="1"/>
        </s>
        <s v="[View Approval Amount Distribution].[Distributions Desc].&amp;[100万元（不含）-300万元（含）]" c="100万元（不含）-300万元（含）" cp="1">
          <x v="2"/>
        </s>
        <s v="[View Approval Amount Distribution].[Distributions Desc].&amp;[300万元（不含）-500万元（含）]" c="300万元（不含）-500万元（含）" cp="1">
          <x v="3"/>
        </s>
        <s v="[View Approval Amount Distribution].[Distributions Desc].&amp;[500万元（不含）-700万元（含）]" c="500万元（不含）-700万元（含）" cp="1">
          <x v="4"/>
        </s>
        <s v="[View Approval Amount Distribution].[Distributions Desc].&amp;[700万元（不含）以上]" c="700万元（不含）以上" cp="1">
          <x v="5"/>
        </s>
      </sharedItems>
      <mpMap v="6"/>
    </cacheField>
    <cacheField name="[View Approval Amount Distribution].[Distributions Desc].[Distributions Desc].[Sort Key]" caption="Sort Key" propertyName="Sort Key" numFmtId="0" hierarchy="51" level="1" memberPropertyField="1">
      <sharedItems containsSemiMixedTypes="0" containsString="0" containsNumber="1" containsInteger="1" minValue="0" maxValue="50" count="6">
        <n v="0"/>
        <n v="10"/>
        <n v="20"/>
        <n v="30"/>
        <n v="40"/>
        <n v="50"/>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5"/>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7"/>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Local Dev" refreshedDate="42705.499048379628"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Loan].[Product Type].[Product Type]" caption="Product Type" numFmtId="0" hierarchy="28" level="1">
      <sharedItems count="3">
        <s v="[Loan].[Product Type].&amp;[]" c=""/>
        <s v="[Loan].[Product Type].&amp;[一手住房]" c="一手住房"/>
        <s v="[Loan].[Product Type].&amp;[二手住房]" c="二手住房"/>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5"/>
      </fieldsUsage>
    </cacheHierarchy>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Local Dev" refreshedDate="42705.499050347222"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Loan].[Division Name].[Division Name]" caption="Division Name" numFmtId="0" hierarchy="17" level="1">
      <sharedItems count="1">
        <s v="[Loan].[Division Name].&amp;[]" c=""/>
      </sharedItems>
    </cacheField>
    <cacheField name="[Date].[Date].[Date].[Dim Date ID]" caption="Dim Date ID" propertyName="Dim Date ID" numFmtId="0" hierarchy="9" level="1" memberPropertyField="1">
      <sharedItems containsSemiMixedTypes="0" containsString="0"/>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4"/>
      </fieldsUsage>
    </cacheHierarchy>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Local Dev" refreshedDate="42705.499052662039"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Loan].[Guarantee Type].[Guarantee Type]" caption="Guarantee Type" numFmtId="0" hierarchy="18" level="1">
      <sharedItems count="3">
        <s v="[Loan].[Guarantee Type].&amp;[]" c=""/>
        <s v="[Loan].[Guarantee Type].&amp;[保证]" c="保证"/>
        <s v="[Loan].[Guarantee Type].&amp;[信用]" c="信用"/>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5"/>
      </fieldsUsage>
    </cacheHierarchy>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Local Dev" refreshedDate="42705.499054629632"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Loan].[Payment Type Desc].[Payment Type Desc]" caption="Payment Type Desc" numFmtId="0" hierarchy="27" level="1">
      <sharedItems count="1">
        <s v="[Loan].[Payment Type Desc].&amp;[]" c=""/>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5"/>
      </fieldsUsage>
    </cacheHierarchy>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Local Dev" refreshedDate="42705.499060995367"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Date].[Date].[Date].[Dim Date ID]" caption="Dim Date ID" propertyName="Dim Date ID" numFmtId="0" hierarchy="9" level="1" memberPropertyField="1">
      <sharedItems containsSemiMixedTypes="0" containsString="0"/>
    </cacheField>
    <cacheField name="[Customer].[Occupation].[Occupation]" caption="Occupation" numFmtId="0" hierarchy="7" level="1">
      <sharedItems count="65">
        <s v="[Customer].[Occupation].&amp;[]" c=""/>
        <s v="[Customer].[Occupation].&amp;[0211司局级以上干部]" c="0211司局级以上干部"/>
        <s v="[Customer].[Occupation].&amp;[0311高级研究员/分析员]" c="0311高级研究员/分析员"/>
        <s v="[Customer].[Occupation].&amp;[1.[国家党政机关、事业单位]]]" c="1.[国家党政机关、事业单位]"/>
        <s v="[Customer].[Occupation].&amp;[1.国家党政机关、事业单位]" c="1.国家党政机关、事业单位"/>
        <s v="[Customer].[Occupation].&amp;[2.教育机构]" c="2.教育机构"/>
        <s v="[Customer].[Occupation].&amp;[3.医疗机构]" c="3.医疗机构"/>
        <s v="[Customer].[Occupation].&amp;[4.金融业]" c="4.金融业"/>
        <s v="[Customer].[Occupation].&amp;[5.[贸易、商业、事务所]]]" c="5.[贸易、商业、事务所]"/>
        <s v="[Customer].[Occupation].&amp;[5.贸易、商业、事务所]" c="5.贸易、商业、事务所"/>
        <s v="[Customer].[Occupation].&amp;[6.[贸易、商业、事务所]]]" c="6.[贸易、商业、事务所]"/>
        <s v="[Customer].[Occupation].&amp;[6.建筑、制造业]" c="6.建筑、制造业"/>
        <s v="[Customer].[Occupation].&amp;[7.酒店、餐饮、娱乐]" c="7.酒店、餐饮、娱乐"/>
        <s v="[Customer].[Occupation].&amp;[8.个体经营]" c="8.个体经营"/>
        <s v="[Customer].[Occupation].&amp;[9.其他]" c="9.其他"/>
        <s v="[Customer].[Occupation].&amp;[上市公司高级管理层]" c="上市公司高级管理层"/>
        <s v="[Customer].[Occupation].&amp;[专业人士]" c="专业人士"/>
        <s v="[Customer].[Occupation].&amp;[专业技术工人]" c="专业技术工人"/>
        <s v="[Customer].[Occupation].&amp;[个体工商户]" c="个体工商户"/>
        <s v="[Customer].[Occupation].&amp;[中级研究员、分析员]" c="中级研究员、分析员"/>
        <s v="[Customer].[Occupation].&amp;[企业普通职员]" c="企业普通职员"/>
        <s v="[Customer].[Occupation].&amp;[企业管理人员]" c="企业管理人员"/>
        <s v="[Customer].[Occupation].&amp;[会计师]" c="会计师"/>
        <s v="[Customer].[Occupation].&amp;[公检法机关人员]" c="公检法机关人员"/>
        <s v="[Customer].[Occupation].&amp;[其他]" c="其他"/>
        <s v="[Customer].[Occupation].&amp;[其他专业人士]" c="其他专业人士"/>
        <s v="[Customer].[Occupation].&amp;[其他文体工作者]" c="其他文体工作者"/>
        <s v="[Customer].[Occupation].&amp;[其他普通职员]" c="其他普通职员"/>
        <s v="[Customer].[Occupation].&amp;[其他管理人员]" c="其他管理人员"/>
        <s v="[Customer].[Occupation].&amp;[其他经济人员]" c="其他经济人员"/>
        <s v="[Customer].[Occupation].&amp;[军人、武警战士]" c="军人、武警战士"/>
        <s v="[Customer].[Occupation].&amp;[农民]" c="农民"/>
        <s v="[Customer].[Occupation].&amp;[医生]" c="医生"/>
        <s v="[Customer].[Occupation].&amp;[医疗辅助人员]" c="医疗辅助人员"/>
        <s v="[Customer].[Occupation].&amp;[国家机关公务员、事业单位人员]" c="国家机关公务员、事业单位人员"/>
        <s v="[Customer].[Occupation].&amp;[国有企业高级管理层]" c="国有企业高级管理层"/>
        <s v="[Customer].[Occupation].&amp;[处级以上干部]" c="处级以上干部"/>
        <s v="[Customer].[Occupation].&amp;[媒体工作者]" c="媒体工作者"/>
        <s v="[Customer].[Occupation].&amp;[学生]" c="学生"/>
        <s v="[Customer].[Occupation].&amp;[审计师]" c="审计师"/>
        <s v="[Customer].[Occupation].&amp;[家庭主妇]" c="家庭主妇"/>
        <s v="[Customer].[Occupation].&amp;[小微企业主]" c="小微企业主"/>
        <s v="[Customer].[Occupation].&amp;[工程师]" c="工程师"/>
        <s v="[Customer].[Occupation].&amp;[待业、无业]" c="待业、无业"/>
        <s v="[Customer].[Occupation].&amp;[律师]" c="律师"/>
        <s v="[Customer].[Occupation].&amp;[技术人员]" c="技术人员"/>
        <s v="[Customer].[Occupation].&amp;[教师]" c="教师"/>
        <s v="[Customer].[Occupation].&amp;[文体工作者]" c="文体工作者"/>
        <s v="[Customer].[Occupation].&amp;[文化、教育]" c="文化、教育"/>
        <s v="[Customer].[Occupation].&amp;[文员]" c="文员"/>
        <s v="[Customer].[Occupation].&amp;[普通公职人员]" c="普通公职人员"/>
        <s v="[Customer].[Occupation].&amp;[普通工人]" c="普通工人"/>
        <s v="[Customer].[Occupation].&amp;[普通研究员、分析员]" c="普通研究员、分析员"/>
        <s v="[Customer].[Occupation].&amp;[服务人员]" c="服务人员"/>
        <s v="[Customer].[Occupation].&amp;[演艺人员]" c="演艺人员"/>
        <s v="[Customer].[Occupation].&amp;[煤炭、钢铁]" c="煤炭、钢铁"/>
        <s v="[Customer].[Occupation].&amp;[离退休人员]" c="离退休人员"/>
        <s v="[Customer].[Occupation].&amp;[私营企业管理人员]" c="私营企业管理人员"/>
        <s v="[Customer].[Occupation].&amp;[科技人员]" c="科技人员"/>
        <s v="[Customer].[Occupation].&amp;[经济人员]" c="经济人员"/>
        <s v="[Customer].[Occupation].&amp;[翻译]" c="翻译"/>
        <s v="[Customer].[Occupation].&amp;[自由职业者]" c="自由职业者"/>
        <s v="[Customer].[Occupation].&amp;[设计师]" c="设计师"/>
        <s v="[Customer].[Occupation].&amp;[财务人员]" c="财务人员"/>
        <s v="[Customer].[Occupation].&amp;[销售人员]" c="销售人员"/>
      </sharedItems>
    </cacheField>
    <cacheField name="[Measures].[Current Principal Balance]" caption="资产池未偿本金余额总额" numFmtId="0" hierarchy="93" level="32767"/>
    <cacheField name="[Measures].[% Loan Balance]" caption="本金余额占比" numFmtId="0" hierarchy="130" level="32767"/>
    <cacheField name="[Measures].[Loan Count]" caption="贷款笔数" numFmtId="0" hierarchy="100" level="32767"/>
    <cacheField name="[Measures].[% Loan Count]" caption="贷款笔数占比" numFmtId="0" hierarchy="131" level="32767"/>
    <cacheField name="[Measures].[Approval Amount]" caption="合同总金额" numFmtId="0" hierarchy="92" level="32767"/>
    <cacheField name="[Measures].[% Approval Amount]" caption="合同金额占比" numFmtId="0" hierarchy="132" level="32767"/>
  </cacheFields>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3"/>
      </fieldsUsage>
    </cacheHierarchy>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8"/>
      </fieldsUsage>
    </cacheHierarchy>
    <cacheHierarchy uniqueName="[Measures].[Current Principal Balance]" caption="资产池未偿本金余额总额" measure="1" displayFolder="" measureGroup="View Fact Loan" count="0" oneField="1">
      <fieldsUsage count="1">
        <fieldUsage x="4"/>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6"/>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oneField="1">
      <fieldsUsage count="1">
        <fieldUsage x="5"/>
      </fieldsUsage>
    </cacheHierarchy>
    <cacheHierarchy uniqueName="[Measures].[% Loan Count]" caption="贷款笔数占比" measure="1" displayFolder="" measureGroup="View Fact Loan" count="0" oneField="1">
      <fieldsUsage count="1">
        <fieldUsage x="7"/>
      </fieldsUsage>
    </cacheHierarchy>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Local Dev" refreshedDate="42705.499063541669"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Loan].[Interest Type Desc].[Interest Type Desc]" caption="Interest Type Desc" numFmtId="0" hierarchy="22" level="1">
      <sharedItems count="1">
        <s v="[Loan].[Interest Type Desc].&amp;[]" c=""/>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5"/>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Local Dev" refreshedDate="42705.49906898148"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Date].[Date].[Date].[Dim Date ID]" caption="Dim Date ID" propertyName="Dim Date ID" numFmtId="0" hierarchy="9" level="1" memberPropertyField="1">
      <sharedItems containsSemiMixedTypes="0" containsString="0"/>
    </cacheField>
    <cacheField name="[View Annual Income Distribution].[Distributions Desc].[Distributions Desc]" caption="Distributions Desc" numFmtId="0" hierarchy="48" level="1" mappingCount="1">
      <sharedItems count="7">
        <s v="[View Annual Income Distribution].[Distributions Desc].&amp;[小于等于50,000]" c="小于等于50,000" cp="1">
          <x/>
        </s>
        <s v="[View Annual Income Distribution].[Distributions Desc].&amp;[50,000-100,000(含)]" c="50,000-100,000(含)" cp="1">
          <x v="1"/>
        </s>
        <s v="[View Annual Income Distribution].[Distributions Desc].&amp;[100,000-200,000(含)]" c="100,000-200,000(含)" cp="1">
          <x v="2"/>
        </s>
        <s v="[View Annual Income Distribution].[Distributions Desc].&amp;[200,000-300,000(含)]" c="200,000-300,000(含)" cp="1">
          <x v="3"/>
        </s>
        <s v="[View Annual Income Distribution].[Distributions Desc].&amp;[300,000-400,000(含)]" c="300,000-400,000(含)" cp="1">
          <x v="4"/>
        </s>
        <s v="[View Annual Income Distribution].[Distributions Desc].&amp;[400,000-500,000(含)]" c="400,000-500,000(含)" cp="1">
          <x v="5"/>
        </s>
        <s v="[View Annual Income Distribution].[Distributions Desc].&amp;[大于500,000]" c="大于500,000" cp="1">
          <x v="6"/>
        </s>
      </sharedItems>
      <mpMap v="8"/>
    </cacheField>
    <cacheField name="[Measures].[Current Principal Balance]" caption="资产池未偿本金余额总额" numFmtId="0" hierarchy="93" level="32767"/>
    <cacheField name="[Measures].[% Loan Balance]" caption="本金余额占比" numFmtId="0" hierarchy="130" level="32767"/>
    <cacheField name="[Measures].[Loan Count]" caption="贷款笔数" numFmtId="0" hierarchy="100" level="32767"/>
    <cacheField name="[Measures].[% Loan Count]" caption="贷款笔数占比" numFmtId="0" hierarchy="131" level="32767"/>
    <cacheField name="[View Annual Income Distribution].[Distributions Desc].[Distributions Desc].[Sort Key]" caption="Sort Key" propertyName="Sort Key" numFmtId="0" hierarchy="48" level="1" memberPropertyField="1">
      <sharedItems containsSemiMixedTypes="0" containsString="0" containsNumber="1" containsInteger="1" minValue="10" maxValue="70" count="7">
        <n v="10"/>
        <n v="20"/>
        <n v="30"/>
        <n v="40"/>
        <n v="50"/>
        <n v="60"/>
        <n v="70"/>
      </sharedItems>
    </cacheField>
    <cacheField name="[Measures].[Approval Amount]" caption="合同总金额" numFmtId="0" hierarchy="92" level="32767"/>
    <cacheField name="[Measures].[% Approval Amount]" caption="合同金额占比" numFmtId="0" hierarchy="132" level="32767"/>
  </cacheFields>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3"/>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9"/>
      </fieldsUsage>
    </cacheHierarchy>
    <cacheHierarchy uniqueName="[Measures].[Current Principal Balance]" caption="资产池未偿本金余额总额" measure="1" displayFolder="" measureGroup="View Fact Loan" count="0" oneField="1">
      <fieldsUsage count="1">
        <fieldUsage x="4"/>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6"/>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oneField="1">
      <fieldsUsage count="1">
        <fieldUsage x="5"/>
      </fieldsUsage>
    </cacheHierarchy>
    <cacheHierarchy uniqueName="[Measures].[% Loan Count]" caption="贷款笔数占比" measure="1" displayFolder="" measureGroup="View Fact Loan" count="0" oneField="1">
      <fieldsUsage count="1">
        <fieldUsage x="7"/>
      </fieldsUsage>
    </cacheHierarchy>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Local Dev" refreshedDate="42705.499074884261"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Date].[Date].[Date].[Dim Date ID]" caption="Dim Date ID" propertyName="Dim Date ID" numFmtId="0" hierarchy="9" level="1" memberPropertyField="1">
      <sharedItems containsSemiMixedTypes="0" containsString="0"/>
    </cacheField>
    <cacheField name="[Measures].[Current Principal Balance]" caption="资产池未偿本金余额总额" numFmtId="0" hierarchy="93" level="32767"/>
    <cacheField name="[Measures].[% Loan Balance]" caption="本金余额占比" numFmtId="0" hierarchy="130" level="32767"/>
    <cacheField name="[Measures].[Loan Count]" caption="贷款笔数" numFmtId="0" hierarchy="100" level="32767"/>
    <cacheField name="[Measures].[% Loan Count]" caption="贷款笔数占比" numFmtId="0" hierarchy="131" level="32767"/>
    <cacheField name="[View Age Distribution].[Distributions Desc].[Distributions Desc]" caption="Distributions Desc" numFmtId="0" hierarchy="45" level="1" mappingCount="1">
      <sharedItems count="5">
        <s v="[View Age Distribution].[Distributions Desc].&amp;[小于等于 20 岁]" c="小于等于 20 岁" cp="1">
          <x/>
        </s>
        <s v="[View Age Distribution].[Distributions Desc].&amp;[20-30 岁(含)]" c="20-30 岁(含)" cp="1">
          <x v="1"/>
        </s>
        <s v="[View Age Distribution].[Distributions Desc].&amp;[30-40 岁(含)]" c="30-40 岁(含)" cp="1">
          <x v="2"/>
        </s>
        <s v="[View Age Distribution].[Distributions Desc].&amp;[40-50 岁(含)]" c="40-50 岁(含)" cp="1">
          <x v="3"/>
        </s>
        <s v="[View Age Distribution].[Distributions Desc].&amp;[大于 50 岁]" c="大于 50 岁" cp="1">
          <x v="4"/>
        </s>
      </sharedItems>
      <mpMap v="8"/>
    </cacheField>
    <cacheField name="[View Age Distribution].[Distributions Desc].[Distributions Desc].[Sort Key]" caption="Sort Key" propertyName="Sort Key" numFmtId="0" hierarchy="45" level="1" memberPropertyField="1">
      <sharedItems containsSemiMixedTypes="0" containsString="0" containsNumber="1" containsInteger="1" minValue="10" maxValue="50" count="5">
        <n v="10"/>
        <n v="20"/>
        <n v="30"/>
        <n v="40"/>
        <n v="50"/>
      </sharedItems>
    </cacheField>
    <cacheField name="[Measures].[Approval Amount]" caption="合同总金额" numFmtId="0" hierarchy="92" level="32767"/>
    <cacheField name="[Measures].[% Approval Amount]" caption="合同金额占比" numFmtId="0" hierarchy="132" level="32767"/>
  </cacheFields>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7"/>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9"/>
      </fieldsUsage>
    </cacheHierarchy>
    <cacheHierarchy uniqueName="[Measures].[Current Principal Balance]" caption="资产池未偿本金余额总额" measure="1" displayFolder="" measureGroup="View Fact Loan" count="0" oneField="1">
      <fieldsUsage count="1">
        <fieldUsage x="3"/>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5"/>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oneField="1">
      <fieldsUsage count="1">
        <fieldUsage x="4"/>
      </fieldsUsage>
    </cacheHierarchy>
    <cacheHierarchy uniqueName="[Measures].[% Loan Count]" caption="贷款笔数占比" measure="1" displayFolder="" measureGroup="View Fact Loan" count="0" oneField="1">
      <fieldsUsage count="1">
        <fieldUsage x="6"/>
      </fieldsUsage>
    </cacheHierarchy>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Local Dev" refreshedDate="42705.499080324073"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Date].[Date].[Date].[Dim Date ID]" caption="Dim Date ID" propertyName="Dim Date ID" numFmtId="0" hierarchy="9" level="1" memberPropertyField="1">
      <sharedItems containsSemiMixedTypes="0" containsString="0"/>
    </cacheField>
    <cacheField name="[Measures].[Current Principal Balance]" caption="资产池未偿本金余额总额" numFmtId="0" hierarchy="93" level="32767"/>
    <cacheField name="[Measures].[% Loan Balance]" caption="本金余额占比" numFmtId="0" hierarchy="130" level="32767"/>
    <cacheField name="[Measures].[Loan Count]" caption="贷款笔数" numFmtId="0" hierarchy="100" level="32767"/>
    <cacheField name="[Measures].[% Loan Count]" caption="贷款笔数占比" numFmtId="0" hierarchy="131" level="32767"/>
    <cacheField name="[View Credit Score Distribution].[Distributions Desc].[Distributions Desc]" caption="Distributions Desc" numFmtId="0" hierarchy="59" level="1" mappingCount="1">
      <sharedItems count="1">
        <s v="[View Credit Score Distribution].[Distributions Desc].&amp;[小于等于 0.2]" c="小于等于 0.2" cp="1">
          <x/>
        </s>
      </sharedItems>
      <mpMap v="8"/>
    </cacheField>
    <cacheField name="[View Credit Score Distribution].[Distributions Desc].[Distributions Desc].[Sort Key]" caption="Sort Key" propertyName="Sort Key" numFmtId="0" hierarchy="59" level="1" memberPropertyField="1">
      <sharedItems containsSemiMixedTypes="0" containsString="0" containsNumber="1" containsInteger="1" minValue="10" maxValue="10" count="1">
        <n v="10"/>
      </sharedItems>
    </cacheField>
    <cacheField name="[Measures].[Approval Amount]" caption="合同总金额" numFmtId="0" hierarchy="92" level="32767"/>
    <cacheField name="[Measures].[% Approval Amount]" caption="合同金额占比" numFmtId="0" hierarchy="132" level="32767"/>
  </cacheFields>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7"/>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9"/>
      </fieldsUsage>
    </cacheHierarchy>
    <cacheHierarchy uniqueName="[Measures].[Current Principal Balance]" caption="资产池未偿本金余额总额" measure="1" displayFolder="" measureGroup="View Fact Loan" count="0" oneField="1">
      <fieldsUsage count="1">
        <fieldUsage x="3"/>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5"/>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oneField="1">
      <fieldsUsage count="1">
        <fieldUsage x="4"/>
      </fieldsUsage>
    </cacheHierarchy>
    <cacheHierarchy uniqueName="[Measures].[% Loan Count]" caption="贷款笔数占比" measure="1" displayFolder="" measureGroup="View Fact Loan" count="0" oneField="1">
      <fieldsUsage count="1">
        <fieldUsage x="6"/>
      </fieldsUsage>
    </cacheHierarchy>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Local Dev" refreshedDate="42705.499082754628"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Loan].[Loan Grade Level].[Loan Grade Level]" caption="Loan Grade Level" numFmtId="0" hierarchy="25" level="1">
      <sharedItems count="6">
        <s v="[Loan].[Loan Grade Level].&amp;[]" c=""/>
        <s v="[Loan].[Loan Grade Level].&amp;[关注]" c="关注"/>
        <s v="[Loan].[Loan Grade Level].&amp;[可疑]" c="可疑"/>
        <s v="[Loan].[Loan Grade Level].&amp;[损失]" c="损失"/>
        <s v="[Loan].[Loan Grade Level].&amp;[次级]" c="次级"/>
        <s v="[Loan].[Loan Grade Level].&amp;[正常]" c="正常"/>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5"/>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Local Dev" refreshedDate="42705.499084490744"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View LTV Distribution].[Distributions Desc].[Distributions Desc]" caption="Distributions Desc" numFmtId="0" hierarchy="77" level="1" mappingCount="1">
      <sharedItems count="10">
        <s v="[View LTV Distribution].[Distributions Desc].&amp;[未知]" c="未知" cp="1">
          <x/>
        </s>
        <s v="[View LTV Distribution].[Distributions Desc].&amp;[小于等于 0.1]" c="小于等于 0.1" cp="1">
          <x v="1"/>
        </s>
        <s v="[View LTV Distribution].[Distributions Desc].&amp;[0.1-0.2(含)]" c="0.1-0.2(含)" cp="1">
          <x v="2"/>
        </s>
        <s v="[View LTV Distribution].[Distributions Desc].&amp;[0.2-0.3(含)]" c="0.2-0.3(含)" cp="1">
          <x v="3"/>
        </s>
        <s v="[View LTV Distribution].[Distributions Desc].&amp;[0.3-0.4(含)]" c="0.3-0.4(含)" cp="1">
          <x v="4"/>
        </s>
        <s v="[View LTV Distribution].[Distributions Desc].&amp;[0.4-0.5(含)]" c="0.4-0.5(含)" cp="1">
          <x v="5"/>
        </s>
        <s v="[View LTV Distribution].[Distributions Desc].&amp;[0.5-0.6(含)]" c="0.5-0.6(含)" cp="1">
          <x v="6"/>
        </s>
        <s v="[View LTV Distribution].[Distributions Desc].&amp;[0.6-0.7(含)]" c="0.6-0.7(含)" cp="1">
          <x v="7"/>
        </s>
        <s v="[View LTV Distribution].[Distributions Desc].&amp;[0.7-0.8(含)]" c="0.7-0.8(含)" cp="1">
          <x v="8"/>
        </s>
        <s v="[View LTV Distribution].[Distributions Desc].&amp;[0.9-1.0(含)]" c="0.9-1.0(含)" cp="1">
          <x v="9"/>
        </s>
      </sharedItems>
      <mpMap v="6"/>
    </cacheField>
    <cacheField name="[View LTV Distribution].[Distributions Desc].[Distributions Desc].[Sort Key]" caption="Sort Key" propertyName="Sort Key" numFmtId="0" hierarchy="77" level="1" memberPropertyField="1">
      <sharedItems containsSemiMixedTypes="0" containsString="0" containsNumber="1" containsInteger="1" minValue="0" maxValue="100" count="10">
        <n v="0"/>
        <n v="10"/>
        <n v="20"/>
        <n v="30"/>
        <n v="40"/>
        <n v="50"/>
        <n v="60"/>
        <n v="70"/>
        <n v="80"/>
        <n v="100"/>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5"/>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7"/>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Local Dev" refreshedDate="42705.499087268516"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Loan].[Auto Brand].[Auto Brand]" caption="Auto Brand" numFmtId="0" hierarchy="15" level="1">
      <sharedItems count="93">
        <s v="[Loan].[Auto Brand].&amp;[]" c=""/>
        <s v="[Loan].[Auto Brand].&amp;[674]" c="674"/>
        <s v="[Loan].[Auto Brand].&amp;[DS]" c="DS"/>
        <s v="[Loan].[Auto Brand].&amp;[Jeep]" c="Jeep"/>
        <s v="[Loan].[Auto Brand].&amp;[MG]" c="MG"/>
        <s v="[Loan].[Auto Brand].&amp;[NULL]" c="NULL"/>
        <s v="[Loan].[Auto Brand].&amp;[一汽丰田]" c="一汽丰田"/>
        <s v="[Loan].[Auto Brand].&amp;[一汽大众]" c="一汽大众"/>
        <s v="[Loan].[Auto Brand].&amp;[一汽大众CC]" c="一汽大众CC"/>
        <s v="[Loan].[Auto Brand].&amp;[一汽大众高尔夫]" c="一汽大众高尔夫"/>
        <s v="[Loan].[Auto Brand].&amp;[一汽奔腾]" c="一汽奔腾"/>
        <s v="[Loan].[Auto Brand].&amp;[一汽奥迪]" c="一汽奥迪"/>
        <s v="[Loan].[Auto Brand].&amp;[一汽奥迪二手车]" c="一汽奥迪二手车"/>
        <s v="[Loan].[Auto Brand].&amp;[一汽马自达]" c="一汽马自达"/>
        <s v="[Loan].[Auto Brand].&amp;[上海大众]" c="上海大众"/>
        <s v="[Loan].[Auto Brand].&amp;[上海大众朗行]" c="上海大众朗行"/>
        <s v="[Loan].[Auto Brand].&amp;[上海汽车]" c="上海汽车"/>
        <s v="[Loan].[Auto Brand].&amp;[东南三菱]" c="东南三菱"/>
        <s v="[Loan].[Auto Brand].&amp;[东南汽车]" c="东南汽车"/>
        <s v="[Loan].[Auto Brand].&amp;[东风悦达起亚]" c="东风悦达起亚"/>
        <s v="[Loan].[Auto Brand].&amp;[东风日产]" c="东风日产"/>
        <s v="[Loan].[Auto Brand].&amp;[东风本田]" c="东风本田"/>
        <s v="[Loan].[Auto Brand].&amp;[东风标致]" c="东风标致"/>
        <s v="[Loan].[Auto Brand].&amp;[东风裕隆]" c="东风裕隆"/>
        <s v="[Loan].[Auto Brand].&amp;[东风雪铁龙]" c="东风雪铁龙"/>
        <s v="[Loan].[Auto Brand].&amp;[东风风神]" c="东风风神"/>
        <s v="[Loan].[Auto Brand].&amp;[东风风行]" c="东风风行"/>
        <s v="[Loan].[Auto Brand].&amp;[众泰]" c="众泰"/>
        <s v="[Loan].[Auto Brand].&amp;[传祺]" c="传祺"/>
        <s v="[Loan].[Auto Brand].&amp;[保时捷]" c="保时捷"/>
        <s v="[Loan].[Auto Brand].&amp;[克莱斯勒]" c="克莱斯勒"/>
        <s v="[Loan].[Auto Brand].&amp;[全球鹰]" c="全球鹰"/>
        <s v="[Loan].[Auto Brand].&amp;[凯迪拉克]" c="凯迪拉克"/>
        <s v="[Loan].[Auto Brand].&amp;[北京奔驰]" c="北京奔驰"/>
        <s v="[Loan].[Auto Brand].&amp;[北京汽车]" c="北京汽车"/>
        <s v="[Loan].[Auto Brand].&amp;[北京现代]" c="北京现代"/>
        <s v="[Loan].[Auto Brand].&amp;[华晨中华]" c="华晨中华"/>
        <s v="[Loan].[Auto Brand].&amp;[吉利]" c="吉利"/>
        <s v="[Loan].[Auto Brand].&amp;[吉利全球鹰]" c="吉利全球鹰"/>
        <s v="[Loan].[Auto Brand].&amp;[启辰]" c="启辰"/>
        <s v="[Loan].[Auto Brand].&amp;[奇瑞]" c="奇瑞"/>
        <s v="[Loan].[Auto Brand].&amp;[宝马]" c="宝马"/>
        <s v="[Loan].[Auto Brand].&amp;[帝豪]" c="帝豪"/>
        <s v="[Loan].[Auto Brand].&amp;[广汽三菱]" c="广汽三菱"/>
        <s v="[Loan].[Auto Brand].&amp;[广汽丰田]" c="广汽丰田"/>
        <s v="[Loan].[Auto Brand].&amp;[广汽传祺]" c="广汽传祺"/>
        <s v="[Loan].[Auto Brand].&amp;[广汽传祺GA3]" c="广汽传祺GA3"/>
        <s v="[Loan].[Auto Brand].&amp;[广汽本田]" c="广汽本田"/>
        <s v="[Loan].[Auto Brand].&amp;[广汽菲亚特]" c="广汽菲亚特"/>
        <s v="[Loan].[Auto Brand].&amp;[悦达起亚]" c="悦达起亚"/>
        <s v="[Loan].[Auto Brand].&amp;[捷豹]" c="捷豹"/>
        <s v="[Loan].[Auto Brand].&amp;[斯巴鲁]" c="斯巴鲁"/>
        <s v="[Loan].[Auto Brand].&amp;[斯柯达]" c="斯柯达"/>
        <s v="[Loan].[Auto Brand].&amp;[林肯]" c="林肯"/>
        <s v="[Loan].[Auto Brand].&amp;[欧宝]" c="欧宝"/>
        <s v="[Loan].[Auto Brand].&amp;[比亚迪]" c="比亚迪"/>
        <s v="[Loan].[Auto Brand].&amp;[江淮]" c="江淮"/>
        <s v="[Loan].[Auto Brand].&amp;[江铃]" c="江铃"/>
        <s v="[Loan].[Auto Brand].&amp;[沃尔沃]" c="沃尔沃"/>
        <s v="[Loan].[Auto Brand].&amp;[海南马自达]" c="海南马自达"/>
        <s v="[Loan].[Auto Brand].&amp;[特斯拉]" c="特斯拉"/>
        <s v="[Loan].[Auto Brand].&amp;[玛莎拉蒂]" c="玛莎拉蒂"/>
        <s v="[Loan].[Auto Brand].&amp;[福特]" c="福特"/>
        <s v="[Loan].[Auto Brand].&amp;[科雷傲]" c="科雷傲"/>
        <s v="[Loan].[Auto Brand].&amp;[纳智捷]" c="纳智捷"/>
        <s v="[Loan].[Auto Brand].&amp;[英伦]" c="英伦"/>
        <s v="[Loan].[Auto Brand].&amp;[英菲尼迪]" c="英菲尼迪"/>
        <s v="[Loan].[Auto Brand].&amp;[荣威]" c="荣威"/>
        <s v="[Loan].[Auto Brand].&amp;[菲亚特]" c="菲亚特"/>
        <s v="[Loan].[Auto Brand].&amp;[观致]" c="观致"/>
        <s v="[Loan].[Auto Brand].&amp;[讴歌]" c="讴歌"/>
        <s v="[Loan].[Auto Brand].&amp;[路虎]" c="路虎"/>
        <s v="[Loan].[Auto Brand].&amp;[进口三菱]" c="进口三菱"/>
        <s v="[Loan].[Auto Brand].&amp;[进口丰田]" c="进口丰田"/>
        <s v="[Loan].[Auto Brand].&amp;[进口大众]" c="进口大众"/>
        <s v="[Loan].[Auto Brand].&amp;[进口标致]" c="进口标致"/>
        <s v="[Loan].[Auto Brand].&amp;[进口现代]" c="进口现代"/>
        <s v="[Loan].[Auto Brand].&amp;[进口起亚]" c="进口起亚"/>
        <s v="[Loan].[Auto Brand].&amp;[进口铃木]" c="进口铃木"/>
        <s v="[Loan].[Auto Brand].&amp;[进口雪铁龙]" c="进口雪铁龙"/>
        <s v="[Loan].[Auto Brand].&amp;[进口马自达]" c="进口马自达"/>
        <s v="[Loan].[Auto Brand].&amp;[通用别克]" c="通用别克"/>
        <s v="[Loan].[Auto Brand].&amp;[长城]" c="长城"/>
        <s v="[Loan].[Auto Brand].&amp;[长安]" c="长安"/>
        <s v="[Loan].[Auto Brand].&amp;[长安汽车]" c="长安汽车"/>
        <s v="[Loan].[Auto Brand].&amp;[长安福特]" c="长安福特"/>
        <s v="[Loan].[Auto Brand].&amp;[长安铃木]" c="长安铃木"/>
        <s v="[Loan].[Auto Brand].&amp;[长安马自达]" c="长安马自达"/>
        <s v="[Loan].[Auto Brand].&amp;[雪佛兰]" c="雪佛兰"/>
        <s v="[Loan].[Auto Brand].&amp;[雪铁龙]" c="雪铁龙"/>
        <s v="[Loan].[Auto Brand].&amp;[雷克萨斯]" c="雷克萨斯"/>
        <s v="[Loan].[Auto Brand].&amp;[雷诺]" c="雷诺"/>
        <s v="[Loan].[Auto Brand].&amp;[马自达]" c="马自达"/>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5"/>
      </fieldsUsage>
    </cacheHierarchy>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Local Dev" refreshedDate="42705.499089583333" backgroundQuery="1" createdVersion="5" refreshedVersion="5" minRefreshableVersion="3" recordCount="0" supportSubquery="1" supportAdvancedDrill="1">
  <cacheSource type="external" connectionId="1"/>
  <cacheFields count="10">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Date].[Date].[Date].[Dim Date ID]" caption="Dim Date ID" propertyName="Dim Date ID" numFmtId="0" hierarchy="9" level="1" memberPropertyField="1">
      <sharedItems containsSemiMixedTypes="0" containsString="0"/>
    </cacheField>
    <cacheField name="[Loan].[Is New Auto Desc].[Is New Auto Desc]" caption="Is New Auto Desc" numFmtId="0" hierarchy="24" level="1">
      <sharedItems count="1">
        <s v="[Loan].[Is New Auto Desc].&amp;[]" c=""/>
      </sharedItems>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5"/>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6"/>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7"/>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Local Dev" refreshedDate="42705.499092129627" backgroundQuery="1" createdVersion="5" refreshedVersion="5" minRefreshableVersion="3" recordCount="0" supportSubquery="1" supportAdvancedDrill="1">
  <cacheSource type="external" connectionId="1"/>
  <cacheFields count="26">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Date].[Date].[Date].[Dim Date ID]" caption="Dim Date ID" propertyName="Dim Date ID" numFmtId="0" hierarchy="9" level="1" memberPropertyField="1">
      <sharedItems containsSemiMixedTypes="0" containsString="0"/>
    </cacheField>
    <cacheField name="[Measures].[Loan Count]" caption="贷款笔数" numFmtId="0" hierarchy="100" level="32767"/>
    <cacheField name="[Measures].[Customer Distinct Count]" caption="借款人数量" numFmtId="0" hierarchy="123" level="32767"/>
    <cacheField name="[Measures].[Approval Amount]" caption="合同总金额" numFmtId="0" hierarchy="92" level="32767"/>
    <cacheField name="[Measures].[Current Principal Balance]" caption="资产池未偿本金余额总额" numFmtId="0" hierarchy="93" level="32767"/>
    <cacheField name="[Measures].[Avg Customer Current Principal Balance]" caption="借款人平均未偿本金余额" numFmtId="0" hierarchy="126" level="32767"/>
    <cacheField name="[Measures].[Maximum Current Principal Balance]" caption="单笔贷款最高本金余额" numFmtId="0" hierarchy="101" level="32767"/>
    <cacheField name="[Measures].[Average Loan Balance]" caption="单笔贷款平均本金余额" numFmtId="0" hierarchy="133" level="32767"/>
    <cacheField name="[Measures].[Average Approval Amount]" caption="单笔贷款平均合同金额" numFmtId="0" hierarchy="134" level="32767"/>
    <cacheField name="[Measures].[Weighted Average Term]" caption="加权平均贷款合同期限" numFmtId="0" hierarchy="142" level="32767"/>
    <cacheField name="[Measures].[Weighted Average Term To Maturity]" caption="加权平均贷款剩余期限" numFmtId="0" hierarchy="143" level="32767"/>
    <cacheField name="[Measures].[Weighted Average Seasoning]" caption="加权平均贷款账龄" numFmtId="0" hierarchy="141" level="32767"/>
    <cacheField name="[Measures].[Maximum Remaining Term]" caption="单笔贷款最长剩余期限" numFmtId="0" hierarchy="104" level="32767"/>
    <cacheField name="[Measures].[Minimum Remaining Term]" caption="单笔贷款最短剩余期限" numFmtId="0" hierarchy="105" level="32767"/>
    <cacheField name="[Measures].[Weighted Average Current Rate]" caption="加权平均贷款利率（%）" numFmtId="0" hierarchy="135" level="32767"/>
    <cacheField name="[Measures].[Maximum Current Rate]" caption="单笔贷款最高利率" numFmtId="0" hierarchy="103" level="32767"/>
    <cacheField name="[Measures].[Minimum Current Rate]" caption="单笔贷款最低利率" numFmtId="0" hierarchy="116" level="32767"/>
    <cacheField name="[Measures].[Auto Price]" caption="抵押车辆初始合同价值合计" numFmtId="0" hierarchy="113" level="32767"/>
    <cacheField name="[Measures].[Weighted Average LTV]" caption="加权平均初始贷款价值比" numFmtId="0" hierarchy="128" level="32767"/>
    <cacheField name="[Measures].[% New Auto]" caption="资产池抵押新车占比" numFmtId="0" hierarchy="145" level="32767"/>
    <cacheField name="[Measures].[Weighted Average Age]" caption="加权平均年龄" numFmtId="0" hierarchy="138" level="32767"/>
    <cacheField name="[Measures].[% 30-40 years old]" caption="30-40 岁借款人贷款的金额占比" numFmtId="0" hierarchy="140" level="32767"/>
    <cacheField name="[Measures].[Weighted Average AnnualIncome]" caption="借款人加权平均年收入" numFmtId="0" hierarchy="136" level="32767"/>
    <cacheField name="[Measures].[Weighted Average Income To Loan]" caption="借款人加权平均收入债务比" numFmtId="0" hierarchy="139" level="32767"/>
  </cacheFields>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5"/>
      </fieldsUsage>
    </cacheHierarchy>
    <cacheHierarchy uniqueName="[Measures].[Current Principal Balance]" caption="资产池未偿本金余额总额" measure="1" displayFolder="" measureGroup="View Fact Loan" count="0" oneField="1">
      <fieldsUsage count="1">
        <fieldUsage x="6"/>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oneField="1">
      <fieldsUsage count="1">
        <fieldUsage x="8"/>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7"/>
      </fieldsUsage>
    </cacheHierarchy>
    <cacheHierarchy uniqueName="[Measures].[Maximum Remaining Term]" caption="单笔贷款最长剩余期限" measure="1" displayFolder="" measureGroup="View Fact Loan" count="0" oneField="1">
      <fieldsUsage count="1">
        <fieldUsage x="14"/>
      </fieldsUsage>
    </cacheHierarchy>
    <cacheHierarchy uniqueName="[Measures].[Minimum Remaining Term]" caption="单笔贷款最短剩余期限" measure="1" displayFolder="" measureGroup="View Fact Loan" count="0" oneField="1">
      <fieldsUsage count="1">
        <fieldUsage x="15"/>
      </fieldsUsage>
    </cacheHierarchy>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oneField="1">
      <fieldsUsage count="1">
        <fieldUsage x="19"/>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oneField="1">
      <fieldsUsage count="1">
        <fieldUsage x="18"/>
      </fieldsUsage>
    </cacheHierarchy>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oneField="1">
      <fieldsUsage count="1">
        <fieldUsage x="4"/>
      </fieldsUsage>
    </cacheHierarchy>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oneField="1">
      <fieldsUsage count="1">
        <fieldUsage x="7"/>
      </fieldsUsage>
    </cacheHierarchy>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oneField="1">
      <fieldsUsage count="1">
        <fieldUsage x="20"/>
      </fieldsUsage>
    </cacheHierarchy>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9"/>
      </fieldsUsage>
    </cacheHierarchy>
    <cacheHierarchy uniqueName="[Measures].[Average Approval Amount]" caption="单笔贷款平均合同金额" measure="1" displayFolder="" measureGroup="View Fact Loan" count="0" oneField="1">
      <fieldsUsage count="1">
        <fieldUsage x="10"/>
      </fieldsUsage>
    </cacheHierarchy>
    <cacheHierarchy uniqueName="[Measures].[Weighted Average Current Rate]" caption="加权平均贷款利率（%）" measure="1" displayFolder="" measureGroup="View Fact Loan" count="0" oneField="1">
      <fieldsUsage count="1">
        <fieldUsage x="16"/>
      </fieldsUsage>
    </cacheHierarchy>
    <cacheHierarchy uniqueName="[Measures].[Weighted Average AnnualIncome]" caption="借款人加权平均年收入" measure="1" displayFolder="" measureGroup="View Fact Loan Customer" count="0" oneField="1">
      <fieldsUsage count="1">
        <fieldUsage x="24"/>
      </fieldsUsage>
    </cacheHierarchy>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oneField="1">
      <fieldsUsage count="1">
        <fieldUsage x="22"/>
      </fieldsUsage>
    </cacheHierarchy>
    <cacheHierarchy uniqueName="[Measures].[Weighted Average Income To Loan]" caption="借款人加权平均收入债务比" measure="1" displayFolder="" measureGroup="View Fact Loan" count="0" oneField="1">
      <fieldsUsage count="1">
        <fieldUsage x="25"/>
      </fieldsUsage>
    </cacheHierarchy>
    <cacheHierarchy uniqueName="[Measures].[% 30-40 years old]" caption="30-40 岁借款人贷款的金额占比" measure="1" displayFolder="" measureGroup="View Fact Loan" count="0" oneField="1">
      <fieldsUsage count="1">
        <fieldUsage x="23"/>
      </fieldsUsage>
    </cacheHierarchy>
    <cacheHierarchy uniqueName="[Measures].[Weighted Average Seasoning]" caption="加权平均贷款账龄" measure="1" displayFolder="" measureGroup="View Fact Loan" count="0" oneField="1">
      <fieldsUsage count="1">
        <fieldUsage x="13"/>
      </fieldsUsage>
    </cacheHierarchy>
    <cacheHierarchy uniqueName="[Measures].[Weighted Average Term]" caption="加权平均贷款合同期限" measure="1" displayFolder="" measureGroup="View Fact Loan" count="0" oneField="1">
      <fieldsUsage count="1">
        <fieldUsage x="11"/>
      </fieldsUsage>
    </cacheHierarchy>
    <cacheHierarchy uniqueName="[Measures].[Weighted Average Term To Maturity]" caption="加权平均贷款剩余期限" measure="1" displayFolder="" measureGroup="View Fact Loan" count="0" oneField="1">
      <fieldsUsage count="1">
        <fieldUsage x="12"/>
      </fieldsUsage>
    </cacheHierarchy>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oneField="1">
      <fieldsUsage count="1">
        <fieldUsage x="21"/>
      </fieldsUsage>
    </cacheHierarchy>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Local Dev" refreshedDate="42705.49909409722" backgroundQuery="1" createdVersion="5" refreshedVersion="5" minRefreshableVersion="3" recordCount="0" supportSubquery="1" supportAdvancedDrill="1">
  <cacheSource type="external" connectionId="1"/>
  <cacheFields count="11">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Measures].[Current Principal Balance]" caption="资产池未偿本金余额总额" numFmtId="0" hierarchy="93" level="32767"/>
    <cacheField name="[Measures].[Loan Count]" caption="贷款笔数" numFmtId="0" hierarchy="100" level="32767"/>
    <cacheField name="[Current Rate Distribution].[Distributions Desc].[Distributions Desc]" caption="Distributions Desc" numFmtId="0" level="1" mappingCount="1">
      <sharedItems count="7">
        <s v="[Current Rate Distribution].[Distributions Desc].&amp;[0（不含）% - 0.5（含）%]" c="0（不含）% - 0.5（含）%" cp="1">
          <x/>
        </s>
        <s v="[Current Rate Distribution].[Distributions Desc].&amp;[0.5（不含）% - 1（含）%]" c="0.5（不含）% - 1（含）%" cp="1">
          <x v="1"/>
        </s>
        <s v="[Current Rate Distribution].[Distributions Desc].&amp;[1（不含）% - 1.5（含）%]" c="1（不含）% - 1.5（含）%" cp="1">
          <x v="2"/>
        </s>
        <s v="[Current Rate Distribution].[Distributions Desc].&amp;[1.5（不含）% - 2（含）%]" c="1.5（不含）% - 2（含）%" cp="1">
          <x v="3"/>
        </s>
        <s v="[Current Rate Distribution].[Distributions Desc].&amp;[2（不含）% - 2.5（含）%]" c="2（不含）% - 2.5（含）%" cp="1">
          <x v="4"/>
        </s>
        <s v="[Current Rate Distribution].[Distributions Desc].&amp;[2.5（不含）% - 3（含）%]" c="2.5（不含）% - 3（含）%" cp="1">
          <x v="5"/>
        </s>
        <s v="[Current Rate Distribution].[Distributions Desc].&amp;[3（不含）% - 3.5（含）%]" c="3（不含）% - 3.5（含）%" cp="1">
          <x v="6"/>
        </s>
      </sharedItems>
      <mpMap v="5"/>
    </cacheField>
    <cacheField name="[Current Rate Distribution].[Distributions Desc].[Distributions Desc].[Sort Key]" caption="Sort Key" propertyName="Sort Key" numFmtId="0" level="1" memberPropertyField="1">
      <sharedItems containsSemiMixedTypes="0" containsString="0" containsNumber="1" containsInteger="1" minValue="10" maxValue="70" count="7">
        <n v="10"/>
        <n v="20"/>
        <n v="30"/>
        <n v="40"/>
        <n v="50"/>
        <n v="60"/>
        <n v="70"/>
      </sharedItems>
    </cacheField>
    <cacheField name="[Date].[Date].[Date].[Dim Date ID]" caption="Dim Date ID" propertyName="Dim Date ID" numFmtId="0" hierarchy="9" level="1" memberPropertyField="1">
      <sharedItems containsSemiMixedTypes="0" containsString="0"/>
    </cacheField>
    <cacheField name="[Measures].[Approval Amount]" caption="合同总金额" numFmtId="0" hierarchy="92" level="32767"/>
    <cacheField name="[Measures].[% Approval Amount]" caption="合同金额占比" numFmtId="0" hierarchy="132" level="32767"/>
    <cacheField name="Dummy0" numFmtId="0" hierarchy="149" level="32767">
      <extLst>
        <ext xmlns:x14="http://schemas.microsoft.com/office/spreadsheetml/2009/9/main" uri="{63CAB8AC-B538-458d-9737-405883B0398D}">
          <x14:cacheField ignore="1"/>
        </ext>
      </extLst>
    </cacheField>
    <cacheField name="Dummy1" numFmtId="0" hierarchy="150" level="32767">
      <extLst>
        <ext xmlns:x14="http://schemas.microsoft.com/office/spreadsheetml/2009/9/main" uri="{63CAB8AC-B538-458d-9737-405883B0398D}">
          <x14:cacheField ignore="1"/>
        </ext>
      </extLst>
    </cacheField>
  </cacheFields>
  <cacheHierarchies count="151">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4"/>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0"/>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oneField="1">
      <fieldsUsage count="1">
        <fieldUsage x="7"/>
      </fieldsUsage>
    </cacheHierarchy>
    <cacheHierarchy uniqueName="[Measures].[Current Principal Balance]" caption="资产池未偿本金余额总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oneField="1">
      <fieldsUsage count="1">
        <fieldUsage x="3"/>
      </fieldsUsage>
    </cacheHierarchy>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Local Dev" refreshedDate="42705.501564930557" backgroundQuery="1" createdVersion="5" refreshedVersion="5" minRefreshableVersion="3" recordCount="0" supportSubquery="1" supportAdvancedDrill="1">
  <cacheSource type="external" connectionId="1"/>
  <cacheFields count="5">
    <cacheField name="[Dimension Function].[Report ID].[Report ID]" caption="Report ID" numFmtId="0" hierarchy="13" level="1">
      <sharedItems count="3">
        <s v="[Dimension Function].[Report ID].&amp;[2]" c="现金流归集报表"/>
        <s v="[Dimension Function].[Report ID].&amp;[1]" c="评级机构资产池详细报表"/>
        <s v="[Dimension Function].[Report ID].&amp;[3]" c="静态池报表"/>
      </sharedItems>
    </cacheField>
    <cacheField name="[Date].[Date].[Date]" caption="Date" numFmtId="0" hierarchy="9" level="1">
      <sharedItems containsSemiMixedTypes="0" containsString="0"/>
    </cacheField>
    <cacheField name="[Date].[Date].[Date].[Month Name]" caption="Month Name" propertyName="Month Name" numFmtId="0" hierarchy="9" level="1" memberPropertyField="1">
      <sharedItems containsSemiMixedTypes="0" containsString="0"/>
    </cacheField>
    <cacheField name="[Date].[Date].[Date].[Dim Date ID]" caption="Dim Date ID" propertyName="Dim Date ID" numFmtId="0" hierarchy="9" level="1" memberPropertyField="1">
      <sharedItems containsSemiMixedTypes="0" containsString="0"/>
    </cacheField>
    <cacheField name="[Measures].[Fact Report Count]" caption="Fact Report Count" numFmtId="0" hierarchy="125" level="32767"/>
  </cacheFields>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fieldsUsage count="2">
        <fieldUsage x="-1"/>
        <fieldUsage x="1"/>
      </fieldsUsage>
    </cacheHierarchy>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0"/>
      </fieldsUsage>
    </cacheHierarchy>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cacheHierarchy uniqueName="[Measures].[Current Principal Balance]" caption="资产池未偿本金余额总额" measure="1" displayFolder="" measureGroup="View Fact Loan" count="0"/>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oneField="1">
      <fieldsUsage count="1">
        <fieldUsage x="4"/>
      </fieldsUsage>
    </cacheHierarchy>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dimensions count="30">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Loan" uniqueName="[Loan]" caption="Loan"/>
    <dimension name="Loan Term Distribution" uniqueName="[Loan Term Distribution]" caption="Loan Term Distribution"/>
    <dimension measure="1" name="Measures" uniqueName="[Measures]" caption="Measures"/>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Tbl Dim Trust" uniqueName="[Tbl Dim Trust]" caption="Tbl Dim Trust"/>
    <dimension name="View Age Distribution" uniqueName="[View Age Distribution]" caption="View Age Distribution"/>
    <dimension name="View Annual Income Distribution" uniqueName="[View Annual Income Distribution]" caption="View Annual Income Distribution"/>
    <dimension name="View Approval Amount Distribution" uniqueName="[View Approval Amount Distribution]" caption="View Approval Amount Distribution"/>
    <dimension name="View Asset Type" uniqueName="[View Asset Type]" caption="View Asset Type"/>
    <dimension name="View Auto Brand Distribution" uniqueName="[View Auto Brand Distribution]" caption="View Auto Brand Distribution"/>
    <dimension name="View Credit Score Distribution" uniqueName="[View Credit Score Distribution]" caption="View Credit Score Distribution"/>
    <dimension name="View Current Rate Distribution" uniqueName="[View Current Rate Distribution]" caption="View Current Rate Distribution"/>
    <dimension name="View Days In Arrears Distribution" uniqueName="[View Days In Arrears Distribution]" caption="View Days In Arrears Distribution"/>
    <dimension name="View Division Name Distribution" uniqueName="[View Division Name Distribution]" caption="View Division Name Distribution"/>
    <dimension name="View Guarantee Type Distribution" uniqueName="[View Guarantee Type Distribution]" caption="View Guarantee Type Distribution"/>
    <dimension name="View Interest Type Distribution" uniqueName="[View Interest Type Distribution]" caption="View Interest Type Distribution"/>
    <dimension name="View Is In Trust" uniqueName="[View Is In Trust]" caption="View Is In Trust"/>
    <dimension name="View Is New Auto Distribution" uniqueName="[View Is New Auto Distribution]" caption="View Is New Auto Distribution"/>
    <dimension name="View LTV Distribution" uniqueName="[View LTV Distribution]" caption="View LTV Distribution"/>
    <dimension name="View Organisation" uniqueName="[View Organisation]" caption="View Organisation"/>
    <dimension name="View Payment Type Distribution" uniqueName="[View Payment Type Distribution]" caption="View Payment Type Distribution"/>
    <dimension name="View Principal Balance Distribution" uniqueName="[View Principal Balance Distribution]" caption="View Principal Balance Distribution"/>
    <dimension name="View Product Type Distribution" uniqueName="[View Product Type Distribution]" caption="View Product Type Distribution"/>
    <dimension name="View Seasoning Distribution" uniqueName="[View Seasoning Distribution]" caption="View Seasoning Distribution"/>
  </dimensions>
  <measureGroups count="5">
    <measureGroup name="View Fact Customer Loan Amount" caption="View Fact Customer Loan Amount"/>
    <measureGroup name="View Fact Loan" caption="View Fact Loan"/>
    <measureGroup name="View Fact Loan Customer" caption="View Fact Loan Customer"/>
    <measureGroup name="View Fact Loan Customer 1" caption="View Fact Loan Customer 1"/>
    <measureGroup name="View Fact Report Count" caption="View Fact Report Count"/>
  </measureGroups>
  <maps count="43">
    <map measureGroup="0" dimension="1"/>
    <map measureGroup="0" dimension="2"/>
    <map measureGroup="1" dimension="0"/>
    <map measureGroup="1" dimension="1"/>
    <map measureGroup="1" dimension="2"/>
    <map measureGroup="1" dimension="4"/>
    <map measureGroup="1" dimension="5"/>
    <map measureGroup="1" dimension="7"/>
    <map measureGroup="1" dimension="8"/>
    <map measureGroup="1" dimension="9"/>
    <map measureGroup="1" dimension="10"/>
    <map measureGroup="1" dimension="11"/>
    <map measureGroup="1" dimension="12"/>
    <map measureGroup="1" dimension="13"/>
    <map measureGroup="1" dimension="14"/>
    <map measureGroup="1" dimension="16"/>
    <map measureGroup="1" dimension="17"/>
    <map measureGroup="1" dimension="18"/>
    <map measureGroup="1" dimension="22"/>
    <map measureGroup="1" dimension="24"/>
    <map measureGroup="1" dimension="25"/>
    <map measureGroup="1" dimension="27"/>
    <map measureGroup="1" dimension="29"/>
    <map measureGroup="2" dimension="1"/>
    <map measureGroup="2" dimension="2"/>
    <map measureGroup="2" dimension="4"/>
    <map measureGroup="2" dimension="10"/>
    <map measureGroup="2" dimension="11"/>
    <map measureGroup="2" dimension="12"/>
    <map measureGroup="2" dimension="14"/>
    <map measureGroup="2" dimension="16"/>
    <map measureGroup="2" dimension="22"/>
    <map measureGroup="2" dimension="25"/>
    <map measureGroup="3" dimension="1"/>
    <map measureGroup="3" dimension="2"/>
    <map measureGroup="3" dimension="4"/>
    <map measureGroup="3" dimension="10"/>
    <map measureGroup="3" dimension="12"/>
    <map measureGroup="3" dimension="14"/>
    <map measureGroup="3" dimension="16"/>
    <map measureGroup="3" dimension="22"/>
    <map measureGroup="3" dimension="25"/>
    <map measureGroup="4"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Local Dev" refreshedDate="42705.499031134263"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49">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2" unbalanced="0"/>
    <cacheHierarchy uniqueName="[Date].[Dim Date ID]" caption="Dim Date ID" attribute="1" defaultMemberUniqueName="[Date].[Dim Date ID].[All]" allUniqueName="[Date].[Dim Date ID].[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itial LTV]" caption="Initial LTV" attribute="1" defaultMemberUniqueName="[Loan].[Initial LTV].[All]" allUniqueName="[Loan].[Initial LTV].[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caption="Interest Type" attribute="1" defaultMemberUniqueName="[Loan].[Interest Type].[All]" allUniqueName="[Loan].[Interes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Security Type]" caption="Security Type" attribute="1" defaultMemberUniqueName="[Loan].[Security Type].[All]" allUniqueName="[Loan].[Security Type].[All]" dimensionUniqueName="[Loan]" displayFolder="" count="0" unbalanced="0"/>
    <cacheHierarchy uniqueName="[Loan].[Source Id]" caption="Source Id" attribute="1" defaultMemberUniqueName="[Loan].[Source Id].[All]" allUniqueName="[Loan].[Source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Tbl Dim Trust].[Dim Trust ID]" caption="Dim Trust ID" attribute="1" keyAttribute="1" defaultMemberUniqueName="[Tbl Dim Trust].[Dim Trust ID].[All]" allUniqueName="[Tbl Dim Trust].[Dim Trust ID].[All]" dimensionUniqueName="[Tbl Dim Trust]" displayFolder="" count="0" unbalanced="0"/>
    <cacheHierarchy uniqueName="[Tbl Dim Trust].[Trust Code]" caption="Trust Code" attribute="1" defaultMemberUniqueName="[Tbl Dim Trust].[Trust Code].[All]" allUniqueName="[Tbl Dim Trust].[Trust Code].[All]" dimensionUniqueName="[Tbl Dim Trust]"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Asset Type].[Asset Type]" caption="Asset Type" attribute="1" defaultMemberUniqueName="[View Asset Type].[Asset Type].[All]" allUniqueName="[View Asset Type].[Asset Type].[All]" dimensionUniqueName="[View Asset Type]" displayFolder="" count="0" unbalanced="0"/>
    <cacheHierarchy uniqueName="[View Asset Type].[Dim Asset Type ID]" caption="Dim Asset Type ID" attribute="1" keyAttribute="1" defaultMemberUniqueName="[View Asset Type].[Dim Asset Type ID].[All]" allUniqueName="[View Asset Type].[Dim Asset Type ID].[All]" dimensionUniqueName="[View Asset Type]" displayFolder="" count="0" unbalanced="0"/>
    <cacheHierarchy uniqueName="[View Asset Type].[Language]" caption="Language" attribute="1" defaultMemberUniqueName="[View Asset Type].[Language].[All]" allUniqueName="[View Asset Type].[Language].[All]" dimensionUniqueName="[View Asset Type]" displayFolder="" count="0" unbalanced="0"/>
    <cacheHierarchy uniqueName="[View Auto Brand Distribution].[Code Dictionary Code]" caption="Code Dictionary Code" attribute="1" keyAttribute="1" defaultMemberUniqueName="[View Auto Brand Distribution].[Code Dictionary Code].[All]" allUniqueName="[View Auto Brand Distribution].[Code Dictionary Code].[All]" dimensionUniqueName="[View Auto Brand Distribution]" displayFolder="" count="0" unbalanced="0"/>
    <cacheHierarchy uniqueName="[View Auto Brand Distribution].[Value]" caption="Value" attribute="1" defaultMemberUniqueName="[View Auto Brand Distribution].[Value].[All]" allUniqueName="[View Auto Brand Distribution].[Value].[All]" dimensionUniqueName="[View Auto Brand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Current Rate Distribution].[Distributions Desc]" caption="Distributions Desc" attribute="1" defaultMemberUniqueName="[View Current Rate Distribution].[Distributions Desc].[All]" allUniqueName="[View Current Rate Distribution].[Distributions Desc].[All]" dimensionUniqueName="[View Current Rate Distribution]" displayFolder="" count="0" unbalanced="0"/>
    <cacheHierarchy uniqueName="[View Current Rate Distribution].[Distributions ID]" caption="Distributions ID" attribute="1" keyAttribute="1" defaultMemberUniqueName="[View Current Rate Distribution].[Distributions ID].[All]" allUniqueName="[View Current Rate Distribution].[Distributions ID].[All]" dimensionUniqueName="[View Current Rate Distribution]" displayFolder="" count="0" unbalanced="0"/>
    <cacheHierarchy uniqueName="[View Current Rate Distribution].[Sort Key]" caption="Sort Key" attribute="1" defaultMemberUniqueName="[View Current Rate Distribution].[Sort Key].[All]" allUniqueName="[View Current Rate Distribution].[Sort Key].[All]" dimensionUniqueName="[View Current Rate Distribution]" displayFolder="" count="0" unbalanced="0"/>
    <cacheHierarchy uniqueName="[View Days In Arrears Distribution].[Distributions Desc]" caption="Distributions Desc" attribute="1" defaultMemberUniqueName="[View Days In Arrears Distribution].[Distributions Desc].[All]" allUniqueName="[View Days In Arrears Distribution].[Distributions Desc].[All]" dimensionUniqueName="[View Days In Arrears Distribution]" displayFolder="" count="0" unbalanced="0"/>
    <cacheHierarchy uniqueName="[View Days In Arrears Distribution].[Distributions ID]" caption="Distributions ID" attribute="1" keyAttribute="1" defaultMemberUniqueName="[View Days In Arrears Distribution].[Distributions ID].[All]" allUniqueName="[View Days In Arrears Distribution].[Distributions ID].[All]" dimensionUniqueName="[View Days In Arrears Distribution]" displayFolder="" count="0" unbalanced="0"/>
    <cacheHierarchy uniqueName="[View Days In Arrears Distribution].[Sort Key]" caption="Sort Key" attribute="1" defaultMemberUniqueName="[View Days In Arrears Distribution].[Sort Key].[All]" allUniqueName="[View Days In Arrears Distribution].[Sort Key].[All]" dimensionUniqueName="[View Days In Arrears Distribution]" displayFolder="" count="0" unbalanced="0"/>
    <cacheHierarchy uniqueName="[View Division Name Distribution].[Code Dictionary Code]" caption="Code Dictionary Code" attribute="1" keyAttribute="1" defaultMemberUniqueName="[View Division Name Distribution].[Code Dictionary Code].[All]" allUniqueName="[View Division Name Distribution].[Code Dictionary Code].[All]" dimensionUniqueName="[View Division Name Distribution]" displayFolder="" count="0" unbalanced="0"/>
    <cacheHierarchy uniqueName="[View Division Name Distribution].[Value]" caption="Value" attribute="1" defaultMemberUniqueName="[View Division Name Distribution].[Value].[All]" allUniqueName="[View Division Name Distribution].[Value].[All]" dimensionUniqueName="[View Division Name Distribution]" displayFolder="" count="0" unbalanced="0"/>
    <cacheHierarchy uniqueName="[View Guarantee Type Distribution].[Code Dictionary Code]" caption="Code Dictionary Code" attribute="1" keyAttribute="1" defaultMemberUniqueName="[View Guarantee Type Distribution].[Code Dictionary Code].[All]" allUniqueName="[View Guarantee Type Distribution].[Code Dictionary Code].[All]" dimensionUniqueName="[View Guarantee Type Distribution]" displayFolder="" count="0" unbalanced="0"/>
    <cacheHierarchy uniqueName="[View Guarantee Type Distribution].[Value]" caption="Value" attribute="1" defaultMemberUniqueName="[View Guarantee Type Distribution].[Value].[All]" allUniqueName="[View Guarantee Type Distribution].[Value].[All]" dimensionUniqueName="[View Guarantee Type Distribution]" displayFolder="" count="0" unbalanced="0"/>
    <cacheHierarchy uniqueName="[View Interest Type Distribution].[Code Dictionary Code]" caption="Code Dictionary Code" attribute="1" keyAttribute="1" defaultMemberUniqueName="[View Interest Type Distribution].[Code Dictionary Code].[All]" allUniqueName="[View Interest Type Distribution].[Code Dictionary Code].[All]" dimensionUniqueName="[View Interest Type Distribution]" displayFolder="" count="0" unbalanced="0"/>
    <cacheHierarchy uniqueName="[View Interest Type Distribution].[Value]" caption="Value" attribute="1" defaultMemberUniqueName="[View Interest Type Distribution].[Value].[All]" allUniqueName="[View Interest Type Distribution].[Value].[All]" dimensionUniqueName="[View Interest Type Distribution]" displayFolder="" count="0" unbalanced="0"/>
    <cacheHierarchy uniqueName="[View Is In Trust].[Is In Turst]" caption="Is In Turst" attribute="1" keyAttribute="1" defaultMemberUniqueName="[View Is In Trust].[Is In Turst].[All]" allUniqueName="[View Is In Trust].[Is In Turst].[All]" dimensionUniqueName="[View Is In Trust]" displayFolder="" count="0" unbalanced="0"/>
    <cacheHierarchy uniqueName="[View Is New Auto Distribution].[Code Dictionary Code]" caption="Code Dictionary Code" attribute="1" keyAttribute="1" defaultMemberUniqueName="[View Is New Auto Distribution].[Code Dictionary Code].[All]" allUniqueName="[View Is New Auto Distribution].[Code Dictionary Code].[All]" dimensionUniqueName="[View Is New Auto Distribution]" displayFolder="" count="0" unbalanced="0"/>
    <cacheHierarchy uniqueName="[View Is New Auto Distribution].[Value]" caption="Value" attribute="1" defaultMemberUniqueName="[View Is New Auto Distribution].[Value].[All]" allUniqueName="[View Is New Auto Distribution].[Value].[All]" dimensionUniqueName="[View Is New Auto Distribution]"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View Organisation].[Dim Organisation ID]" caption="Dim Organisation ID" attribute="1" keyAttribute="1" defaultMemberUniqueName="[View Organisation].[Dim Organisation ID].[All]" allUniqueName="[View Organisation].[Dim Organisation ID].[All]" dimensionUniqueName="[View Organisation]" displayFolder="" count="0" unbalanced="0"/>
    <cacheHierarchy uniqueName="[View Organisation].[Organisation Code]" caption="Organisation Code" attribute="1" defaultMemberUniqueName="[View Organisation].[Organisation Code].[All]" allUniqueName="[View Organisation].[Organisation Code].[All]" dimensionUniqueName="[View Organisation]" displayFolder="" count="0" unbalanced="0"/>
    <cacheHierarchy uniqueName="[View Payment Type Distribution].[Code Dictionary Code]" caption="Code Dictionary Code" attribute="1" keyAttribute="1" defaultMemberUniqueName="[View Payment Type Distribution].[Code Dictionary Code].[All]" allUniqueName="[View Payment Type Distribution].[Code Dictionary Code].[All]" dimensionUniqueName="[View Payment Type Distribution]" displayFolder="" count="0" unbalanced="0"/>
    <cacheHierarchy uniqueName="[View Payment Type Distribution].[Value]" caption="Value" attribute="1" defaultMemberUniqueName="[View Payment Type Distribution].[Value].[All]" allUniqueName="[View Payment Type Distribution].[Value].[All]" dimensionUniqueName="[View Payment Type Distribution]" displayFolder="" count="0" unbalanced="0"/>
    <cacheHierarchy uniqueName="[View Principal Balance Distribution].[Distributions Desc]" caption="Distributions Desc" attribute="1" defaultMemberUniqueName="[View Principal Balance Distribution].[Distributions Desc].[All]" allUniqueName="[View Principal Balance Distribution].[Distributions Desc].[All]" dimensionUniqueName="[View Principal Balance Distribution]" displayFolder="" count="0" unbalanced="0"/>
    <cacheHierarchy uniqueName="[View Principal Balance Distribution].[Distributions ID]" caption="Distributions ID" attribute="1" keyAttribute="1" defaultMemberUniqueName="[View Principal Balance Distribution].[Distributions ID].[All]" allUniqueName="[View Principal Balance Distribution].[Distributions ID].[All]" dimensionUniqueName="[View Principal Balance Distribution]" displayFolder="" count="0" unbalanced="0"/>
    <cacheHierarchy uniqueName="[View Principal Balance Distribution].[Sort Key]" caption="Sort Key" attribute="1" defaultMemberUniqueName="[View Principal Balance Distribution].[Sort Key].[All]" allUniqueName="[View Principal Balance Distribution].[Sort Key].[All]" dimensionUniqueName="[View Principal Balance Distribution]" displayFolder="" count="0" unbalanced="0"/>
    <cacheHierarchy uniqueName="[View Product Type Distribution].[Code Dictionary Code]" caption="Code Dictionary Code" attribute="1" keyAttribute="1" defaultMemberUniqueName="[View Product Type Distribution].[Code Dictionary Code].[All]" allUniqueName="[View Product Type Distribution].[Code Dictionary Code].[All]" dimensionUniqueName="[View Product Type Distribution]" displayFolder="" count="0" unbalanced="0"/>
    <cacheHierarchy uniqueName="[View Product Type Distribution].[Value]" caption="Value" attribute="1" defaultMemberUniqueName="[View Product Type Distribution].[Value].[All]" allUniqueName="[View Product Type Distribution].[Value].[All]" dimensionUniqueName="[View Product Type Distribution]" displayFolder="" count="0" unbalanced="0"/>
    <cacheHierarchy uniqueName="[View Seasoning Distribution].[Distributions Desc]" caption="Distributions Desc" attribute="1" defaultMemberUniqueName="[View Seasoning Distribution].[Distributions Desc].[All]" allUniqueName="[View Seasoning Distribution].[Distributions Desc].[All]" dimensionUniqueName="[View Seasoning Distribution]" displayFolder="" count="0" unbalanced="0"/>
    <cacheHierarchy uniqueName="[View Seasoning Distribution].[Distributions ID]" caption="Distributions ID" attribute="1" keyAttribute="1" defaultMemberUniqueName="[View Seasoning Distribution].[Distributions ID].[All]" allUniqueName="[View Seasoning Distribution].[Distributions ID].[All]" dimensionUniqueName="[View Seasoning Distribution]" displayFolder="" count="0" unbalanced="0"/>
    <cacheHierarchy uniqueName="[View Seasoning Distribution].[Sort Key]" caption="Sort Key" attribute="1" defaultMemberUniqueName="[View Seasoning Distribution].[Sort Key].[All]" allUniqueName="[View Seasoning Distribution].[Sort Key].[All]" dimensionUniqueName="[View Seasoning Distribution]" displayFolder="" count="0" unbalanced="0"/>
    <cacheHierarchy uniqueName="[Measures].[Approval Amount]" caption="合同总金额" measure="1" displayFolder="" measureGroup="View Fact Loan" count="0"/>
    <cacheHierarchy uniqueName="[Measures].[Current Principal Balance]" caption="资产池未偿本金余额总额" measure="1" displayFolder="" measureGroup="View Fact Loan" count="0"/>
    <cacheHierarchy uniqueName="[Measures].[Current Rate]" caption="贷款年利率" measure="1" displayFolder="" measureGroup="View Fact Loan" count="0"/>
    <cacheHierarchy uniqueName="[Measures].[Remaining Term]" caption="Remaining Term"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1]" caption="Arrears Amount1" measure="1" displayFolder="" measureGroup="View Fact Loan" count="0"/>
    <cacheHierarchy uniqueName="[Measures].[Loan Term]" caption="Loan Term" measure="1" displayFolder="" measureGroup="View Fact Loan" count="0"/>
    <cacheHierarchy uniqueName="[Measures].[Loan Count]" caption="贷款笔数" measure="1" displayFolder="" measureGroup="View Fact Loan" count="0"/>
    <cacheHierarchy uniqueName="[Measures].[Maximum Current Principal Balance]" caption="单笔贷款最高本金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Approval Amount Without Fee]" caption="无息合同总金额"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Term To Maturity]" caption="Weighted Term To Maturity" measure="1" displayFolder="" measureGroup="View Fact Loan" count="0"/>
    <cacheHierarchy uniqueName="[Measures].[Dim Organisation ID]" caption="Dim Organisation ID" measure="1" displayFolder="" measureGroup="View Fact Loan" count="0"/>
    <cacheHierarchy uniqueName="[Measures].[Weighted Seasoning]" caption="Weighted Seasoning" measure="1" displayFolder="" measureGroup="View Fact Loan" count="0"/>
    <cacheHierarchy uniqueName="[Measures].[Approval Amount Distribution Key]" caption="Approval Amount Distribution Key"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Minimum Current Rate]" caption="单笔贷款最低利率" measure="1" displayFolder="" measureGroup="View Fact Loan" count="0"/>
    <cacheHierarchy uniqueName="[Measures].[Remaining Term - View Fact Loan]" caption="Remaining Term - View Fact Loan" measure="1" displayFolder="" measureGroup="View Fact Loan" count="0"/>
    <cacheHierarchy uniqueName="[Measures].[FactLoanCustomer Count]" caption="FactLoan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Customer Distinct Count]" caption="借款人数量" measure="1" displayFolder="" measureGroup="View Fact Loan Customer 1" count="0"/>
    <cacheHierarchy uniqueName="[Measures].[Loan Amount]" caption="Loan Amount" measure="1" displayFolder="" measureGroup="View Fact Customer Loan Amount" count="0"/>
    <cacheHierarchy uniqueName="[Measures].[Fact Report Count]" caption="Fact Report Count" measure="1" displayFolder="" measureGroup="View Fact Report Count" count="0"/>
    <cacheHierarchy uniqueName="[Measures].[Avg Customer Current Principal Balance]" caption="借款人平均未偿本金余额" measure="1" displayFolder="" measureGroup="View Fact Loan" count="0"/>
    <cacheHierarchy uniqueName="[Measures].[No Fee Approval Amount Percentage]" caption="无服务费应收账款占比" measure="1" displayFolder="" measureGroup="View Fact Loan" count="0"/>
    <cacheHierarchy uniqueName="[Measures].[Weighted Average LTV]" caption="加权平均初始贷款价值比" measure="1" displayFolder="" measureGroup="View Fact Loan" count="0"/>
    <cacheHierarchy uniqueName="[Measures].[Top5CustomerLoanAmount]" caption="借款金额最高的前10000名借款人占比" measure="1" displayFolder="" measureGroup="View Fact Customer Loan Amount"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erage Approval Amount]" caption="单笔贷款平均合同金额" measure="1" displayFolder="" measureGroup="View Fact Loan" count="0"/>
    <cacheHierarchy uniqueName="[Measures].[Weighted Average Current Rate]" caption="加权平均贷款利率（%）" measure="1" displayFolder="" measureGroup="View Fact Loan" count="0"/>
    <cacheHierarchy uniqueName="[Measures].[Weighted Average AnnualIncome]" caption="借款人加权平均年收入" measure="1" displayFolder="" measureGroup="View Fact Loan Customer" count="0"/>
    <cacheHierarchy uniqueName="[Measures].[Weighted Average Current Rate Annual]" caption="加权平均贷款利率(年化)" measure="1" displayFolder="" measureGroup="View Fact Loan" count="0"/>
    <cacheHierarchy uniqueName="[Measures].[Weighted Average Age]" caption="加权平均年龄" measure="1" displayFolder="" measureGroup="View Fact Loan Customer" count="0"/>
    <cacheHierarchy uniqueName="[Measures].[Weighted Average Income To Loan]" caption="借款人加权平均收入债务比" measure="1" displayFolder="" measureGroup="View Fact Loan" count="0"/>
    <cacheHierarchy uniqueName="[Measures].[% 30-40 years old]" caption="30-40 岁借款人贷款的金额占比"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贷款合同期限" measure="1" displayFolder="" measureGroup="View Fact Loan" count="0"/>
    <cacheHierarchy uniqueName="[Measures].[Weighted Average Term To Maturity]" caption="加权平均贷款剩余期限" measure="1" displayFolder="" measureGroup="View Fact Loan" count="0"/>
    <cacheHierarchy uniqueName="[Measures].[Percentage of Good Credit Loans]" caption="正常类贷款比例" measure="1" displayFolder="" measureGroup="View Fact Loan" count="0"/>
    <cacheHierarchy uniqueName="[Measures].[% New Auto]" caption="资产池抵押新车占比" measure="1" displayFolder="" measureGroup="View Fact Loan" count="0"/>
    <cacheHierarchy uniqueName="[Measures].[Number Of Customer Sectors]" caption="借款人行业分布个数" measure="1" displayFolder="" measureGroup="View Fact Loan" count="0"/>
    <cacheHierarchy uniqueName="[Measures].[Number Of Divisions]" caption="借款人地域分布个数" measure="1" displayFolder="" measureGroup="View Fact Loan" count="0"/>
    <cacheHierarchy uniqueName="[Measures].[借款人数量占比]" caption="借款人数量占比" measure="1" displayFolder="" measureGroup="View Fact Loan Customer 1" count="0"/>
  </cacheHierarchies>
  <kpis count="0"/>
  <extLst>
    <ext xmlns:x14="http://schemas.microsoft.com/office/spreadsheetml/2009/9/main" uri="{725AE2AE-9491-48be-B2B4-4EB974FC3084}">
      <x14:pivotCacheDefinition slicerData="1" pivotCacheId="25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pivotTable1.xml><?xml version="1.0" encoding="utf-8"?>
<pivotTableDefinition xmlns="http://schemas.openxmlformats.org/spreadsheetml/2006/main" name="ptFilter" cacheId="117"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4" firstHeaderRow="0" firstDataRow="0" firstDataCol="0" rowPageCount="1" colPageCount="1"/>
  <pivotFields count="3">
    <pivotField axis="axisPage" allDrilled="1" showAll="0" dataSourceSort="1" defaultAttributeDrillState="1">
      <items count="1">
        <item t="default"/>
      </items>
    </pivotField>
    <pivotField showAll="0" dataSourceSort="1" defaultSubtotal="0" showPropTip="1"/>
    <pivotField showAll="0" dataSourceSort="1" defaultSubtotal="0" showPropTip="1"/>
  </pivotFields>
  <pageFields count="1">
    <pageField fld="0" hier="9" name="[Date].[Date].&amp;[20161130]" cap="30/11/2016"/>
  </pageFields>
  <pivotHierarchies count="149">
    <pivotHierarchy/>
    <pivotHierarchy/>
    <pivotHierarchy/>
    <pivotHierarchy/>
    <pivotHierarchy/>
    <pivotHierarchy/>
    <pivotHierarchy/>
    <pivotHierarchy/>
    <pivotHierarchy/>
    <pivotHierarchy>
      <mps count="2">
        <mp field="1"/>
        <mp field="2"/>
      </mps>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178"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3:B26" firstHeaderRow="1" firstDataRow="1" firstDataCol="1" rowPageCount="1" colPageCount="1"/>
  <pivotFields count="26">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23">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rowItems>
  <colItems count="1">
    <i/>
  </colItems>
  <pageFields count="1">
    <pageField fld="0" hier="9" name="[Date].[Date].[All]" cap="总计"/>
  </pageFields>
  <dataFields count="23">
    <dataField name="合同笔数（笔）" fld="3" baseField="0" baseItem="0"/>
    <dataField name="客户数（户）" fld="4" baseField="0" baseItem="0" numFmtId="3"/>
    <dataField name="合同总金额（元）" fld="5" baseField="0" baseItem="0" numFmtId="39"/>
    <dataField name="应收账款余额（元）" fld="6" baseField="0" baseItem="0" numFmtId="39"/>
    <dataField fld="7" baseField="0" baseItem="0"/>
    <dataField name="单笔合同最大剩余应付货款余额（元）" fld="8" baseField="0" baseItem="0"/>
    <dataField name="单笔贷款平均本金余额（元）" fld="9" baseField="0" baseItem="0"/>
    <dataField name="单笔贷款平均合同金额（元）" fld="10" baseField="0" baseItem="0"/>
    <dataField fld="11" baseField="0" baseItem="0"/>
    <dataField fld="12" baseField="0" baseItem="0"/>
    <dataField name="加权平均贷款账龄（月）" fld="13" baseField="0" baseItem="0" numFmtId="4"/>
    <dataField name="单笔贷款最长剩余期限（月）" fld="14" baseField="0" baseItem="0"/>
    <dataField name="单笔贷款最短剩余期限（月）" fld="15" baseField="0" baseItem="0"/>
    <dataField name="加权平均贷款利率（%）" fld="16" baseField="0" baseItem="0" numFmtId="2"/>
    <dataField name="单笔贷款最高利率（%）" fld="17" baseField="0" baseItem="0"/>
    <dataField name="单笔贷款最低利率（%）" fld="18" baseField="0" baseItem="0"/>
    <dataField name="抵押车辆初始合同价值合计（元）" fld="19" baseField="0" baseItem="0" numFmtId="39"/>
    <dataField name="加权平均初始贷款价值比（LTV）" fld="20" baseField="0" baseItem="0" numFmtId="2"/>
    <dataField name="资产池抵押新车占比" fld="21" baseField="0" baseItem="0" numFmtId="10"/>
    <dataField name="加权平均年龄（岁）" fld="22" baseField="0" baseItem="0" numFmtId="2"/>
    <dataField fld="23" baseField="0" baseItem="0" numFmtId="10"/>
    <dataField name="借款人加权平均年收入（元）" fld="24" baseField="0" baseItem="0" numFmtId="39"/>
    <dataField name="借款人加权平均收入债务比（倍）" fld="25" baseField="0" baseItem="0" numFmtId="2"/>
  </dataFields>
  <formats count="5">
    <format dxfId="108">
      <pivotArea collapsedLevelsAreSubtotals="1" fieldPosition="0">
        <references count="1">
          <reference field="4294967294" count="1">
            <x v="20"/>
          </reference>
        </references>
      </pivotArea>
    </format>
    <format dxfId="107">
      <pivotArea outline="0" fieldPosition="0">
        <references count="1">
          <reference field="4294967294" count="1">
            <x v="20"/>
          </reference>
        </references>
      </pivotArea>
    </format>
    <format dxfId="106">
      <pivotArea outline="0" fieldPosition="0">
        <references count="1">
          <reference field="4294967294" count="1">
            <x v="18"/>
          </reference>
        </references>
      </pivotArea>
    </format>
    <format dxfId="105">
      <pivotArea outline="0" fieldPosition="0">
        <references count="1">
          <reference field="4294967294" count="1">
            <x v="22"/>
          </reference>
        </references>
      </pivotArea>
    </format>
    <format dxfId="104">
      <pivotArea outline="0" fieldPosition="0">
        <references count="1">
          <reference field="4294967294" count="1">
            <x v="17"/>
          </reference>
        </references>
      </pivotArea>
    </format>
  </formats>
  <pivotHierarchies count="149">
    <pivotHierarchy/>
    <pivotHierarchy/>
    <pivotHierarchy/>
    <pivotHierarchy/>
    <pivotHierarchy/>
    <pivotHierarchy/>
    <pivotHierarchy/>
    <pivotHierarchy/>
    <pivotHierarchy/>
    <pivotHierarchy>
      <mps count="2">
        <mp field="1"/>
        <mp field="2"/>
      </mps>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caption="合同总金额（元）"/>
    <pivotHierarchy dragToRow="0" dragToCol="0" dragToPage="0" dragToData="1" caption="应收账款余额（元）"/>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笔）"/>
    <pivotHierarchy dragToRow="0" dragToCol="0" dragToPage="0" dragToData="1" caption="单笔合同最大剩余应付货款余额（元）"/>
    <pivotHierarchy dragToRow="0" dragToCol="0" dragToPage="0" dragToData="1" caption="平均单笔合同金额（元）"/>
    <pivotHierarchy dragToRow="0" dragToCol="0" dragToPage="0" dragToData="1" caption="单笔贷款最高利率（%）"/>
    <pivotHierarchy dragToRow="0" dragToCol="0" dragToPage="0" dragToData="1" caption="单笔贷款最长剩余期限（月）"/>
    <pivotHierarchy dragToRow="0" dragToCol="0" dragToPage="0" dragToData="1" caption="单笔贷款最短剩余期限（月）"/>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抵押车辆初始合同价值合计（元）"/>
    <pivotHierarchy dragToRow="0" dragToCol="0" dragToPage="0" dragToData="1"/>
    <pivotHierarchy dragToRow="0" dragToCol="0" dragToPage="0" dragToData="1"/>
    <pivotHierarchy dragToRow="0" dragToCol="0" dragToPage="0" dragToData="1" caption="单笔贷款最低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数（户）"/>
    <pivotHierarchy dragToRow="0" dragToCol="0" dragToPage="0" dragToData="1"/>
    <pivotHierarchy dragToRow="0" dragToCol="0" dragToPage="0" dragToData="1"/>
    <pivotHierarchy dragToRow="0" dragToCol="0" dragToPage="0" dragToData="1"/>
    <pivotHierarchy dragToRow="0" dragToCol="0" dragToPage="0" dragToData="1" caption="无服务费应收账款占比（%）"/>
    <pivotHierarchy dragToRow="0" dragToCol="0" dragToPage="0" dragToData="1" caption="加权平均初始贷款价值比（LTV）"/>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单笔贷款平均本金余额（元）"/>
    <pivotHierarchy dragToRow="0" dragToCol="0" dragToPage="0" dragToData="1" caption="单笔贷款平均合同金额（元）"/>
    <pivotHierarchy dragToRow="0" dragToCol="0" dragToPage="0" dragToData="1" caption="加权平均贷款利率（%）"/>
    <pivotHierarchy dragToRow="0" dragToCol="0" dragToPage="0" dragToData="1" caption="借款人加权平均年收入（元）"/>
    <pivotHierarchy dragToRow="0" dragToCol="0" dragToPage="0" dragToData="1"/>
    <pivotHierarchy dragToRow="0" dragToCol="0" dragToPage="0" dragToData="1" caption="加权平均年龄（岁）"/>
    <pivotHierarchy dragToRow="0" dragToCol="0" dragToPage="0" dragToData="1" caption="借款人加权平均收入债务比（倍）"/>
    <pivotHierarchy dragToRow="0" dragToCol="0" dragToPage="0" dragToData="1"/>
    <pivotHierarchy dragToRow="0" dragToCol="0" dragToPage="0" dragToData="1" caption="加权平均贷款账龄（月）"/>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pivotHierarchy dragToRow="0" dragToCol="0" dragToPage="0" dragToData="1" caption="资产池抵押新车占比"/>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PaymentType" cacheId="14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0" rowHeaderCaption="还款方式分布" fieldListSortAscending="1">
  <location ref="BU20:CA22"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2">
    <i>
      <x/>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5" baseItem="0" numFmtId="169"/>
    <dataField fld="7" showDataAs="percentOfTotal" baseField="5" baseItem="0" numFmtId="10"/>
  </dataFields>
  <formats count="7">
    <format dxfId="6">
      <pivotArea dataOnly="0" labelOnly="1" outline="0" fieldPosition="0">
        <references count="1">
          <reference field="4294967294" count="1">
            <x v="0"/>
          </reference>
        </references>
      </pivotArea>
    </format>
    <format dxfId="5">
      <pivotArea outline="0" fieldPosition="0">
        <references count="1">
          <reference field="4294967294" count="1">
            <x v="1"/>
          </reference>
        </references>
      </pivotArea>
    </format>
    <format dxfId="4">
      <pivotArea dataOnly="0" labelOnly="1" outline="0" fieldPosition="0">
        <references count="1">
          <reference field="4294967294" count="1">
            <x v="1"/>
          </reference>
        </references>
      </pivotArea>
    </format>
    <format dxfId="3">
      <pivotArea dataOnly="0" outline="0" fieldPosition="0">
        <references count="1">
          <reference field="4294967294" count="1">
            <x v="2"/>
          </reference>
        </references>
      </pivotArea>
    </format>
    <format dxfId="2">
      <pivotArea outline="0" fieldPosition="0">
        <references count="1">
          <reference field="4294967294" count="1">
            <x v="3"/>
          </reference>
        </references>
      </pivotArea>
    </format>
    <format dxfId="1">
      <pivotArea outline="0" fieldPosition="0">
        <references count="1">
          <reference field="4294967294" count="1">
            <x v="4"/>
          </reference>
        </references>
      </pivotArea>
    </format>
    <format dxfId="0">
      <pivotArea outline="0" fieldPosition="0">
        <references count="1">
          <reference field="4294967294" count="1">
            <x v="5"/>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GuaranteeType" cacheId="14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担保情况分布" fieldListSortAscending="1">
  <location ref="BM20:BS24"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4">
        <item x="0"/>
        <item x="1"/>
        <item x="2"/>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4">
    <i>
      <x/>
    </i>
    <i>
      <x v="1"/>
    </i>
    <i>
      <x v="2"/>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5" baseItem="0" numFmtId="169"/>
    <dataField fld="7" showDataAs="percentOfTotal" baseField="5" baseItem="0" numFmtId="10"/>
  </dataFields>
  <formats count="7">
    <format dxfId="13">
      <pivotArea dataOnly="0" labelOnly="1" outline="0" fieldPosition="0">
        <references count="1">
          <reference field="4294967294" count="1">
            <x v="0"/>
          </reference>
        </references>
      </pivotArea>
    </format>
    <format dxfId="12">
      <pivotArea outline="0" fieldPosition="0">
        <references count="1">
          <reference field="4294967294" count="1">
            <x v="1"/>
          </reference>
        </references>
      </pivotArea>
    </format>
    <format dxfId="11">
      <pivotArea dataOnly="0" labelOnly="1" outline="0" fieldPosition="0">
        <references count="1">
          <reference field="4294967294" count="1">
            <x v="1"/>
          </reference>
        </references>
      </pivotArea>
    </format>
    <format dxfId="10">
      <pivotArea dataOnly="0" outline="0" fieldPosition="0">
        <references count="1">
          <reference field="4294967294" count="1">
            <x v="2"/>
          </reference>
        </references>
      </pivotArea>
    </format>
    <format dxfId="9">
      <pivotArea outline="0" fieldPosition="0">
        <references count="1">
          <reference field="4294967294" count="1">
            <x v="3"/>
          </reference>
        </references>
      </pivotArea>
    </format>
    <format dxfId="8">
      <pivotArea outline="0" fieldPosition="0">
        <references count="1">
          <reference field="4294967294" count="1">
            <x v="4"/>
          </reference>
        </references>
      </pivotArea>
    </format>
    <format dxfId="7">
      <pivotArea outline="0" fieldPosition="0">
        <references count="1">
          <reference field="4294967294" count="1">
            <x v="5"/>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Interest" cacheId="18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利率分布" fieldListSortAscending="1">
  <location ref="Y20:AE28"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dataField="1" showAll="0"/>
    <pivotField dataField="1" showAll="0"/>
    <pivotField axis="axisRow" allDrilled="1" showAll="0" dataSourceSort="1" defaultAttributeDrillState="1">
      <items count="8">
        <item x="0"/>
        <item x="1"/>
        <item x="2"/>
        <item x="3"/>
        <item x="4"/>
        <item x="5"/>
        <item x="6"/>
        <item t="default"/>
      </items>
    </pivotField>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8">
    <i>
      <x/>
    </i>
    <i>
      <x v="1"/>
    </i>
    <i>
      <x v="2"/>
    </i>
    <i>
      <x v="3"/>
    </i>
    <i>
      <x v="4"/>
    </i>
    <i>
      <x v="5"/>
    </i>
    <i>
      <x v="6"/>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4"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 name="合同金额" fld="7" baseField="4" baseItem="0" numFmtId="169"/>
    <dataField fld="8" showDataAs="percentOfTotal" baseField="4" baseItem="0" numFmtId="10"/>
  </dataFields>
  <formats count="7">
    <format dxfId="20">
      <pivotArea dataOnly="0" labelOnly="1" outline="0" fieldPosition="0">
        <references count="1">
          <reference field="4294967294" count="1">
            <x v="0"/>
          </reference>
        </references>
      </pivotArea>
    </format>
    <format dxfId="19">
      <pivotArea outline="0" fieldPosition="0">
        <references count="1">
          <reference field="4294967294" count="1">
            <x v="1"/>
          </reference>
        </references>
      </pivotArea>
    </format>
    <format dxfId="18">
      <pivotArea dataOnly="0" labelOnly="1" outline="0" fieldPosition="0">
        <references count="1">
          <reference field="4294967294" count="1">
            <x v="1"/>
          </reference>
        </references>
      </pivotArea>
    </format>
    <format dxfId="17">
      <pivotArea dataOnly="0" outline="0" fieldPosition="0">
        <references count="1">
          <reference field="4294967294" count="1">
            <x v="2"/>
          </reference>
        </references>
      </pivotArea>
    </format>
    <format dxfId="16">
      <pivotArea outline="0" fieldPosition="0">
        <references count="1">
          <reference field="4294967294" count="1">
            <x v="3"/>
          </reference>
        </references>
      </pivotArea>
    </format>
    <format dxfId="15">
      <pivotArea outline="0" fieldPosition="0">
        <references count="1">
          <reference field="4294967294" count="1">
            <x v="5"/>
          </reference>
        </references>
      </pivotArea>
    </format>
    <format dxfId="14">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51">
    <pivotHierarchy>
      <mps count="1">
        <mp field="5"/>
      </mps>
    </pivotHierarchy>
    <pivotHierarchy/>
    <pivotHierarchy/>
    <pivotHierarchy/>
    <pivotHierarchy/>
    <pivotHierarchy/>
    <pivotHierarchy/>
    <pivotHierarchy/>
    <pivotHierarchy/>
    <pivotHierarchy>
      <mps count="2">
        <mp field="1"/>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Branch" cacheId="14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地区分布" fieldListSortAscending="1">
  <location ref="BE20:BK22"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2">
    <i>
      <x/>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4"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4" baseItem="0" numFmtId="169"/>
    <dataField fld="7" showDataAs="percentOfTotal" baseField="4" baseItem="0" numFmtId="10"/>
  </dataFields>
  <formats count="7">
    <format dxfId="27">
      <pivotArea dataOnly="0" labelOnly="1" outline="0" fieldPosition="0">
        <references count="1">
          <reference field="4294967294" count="1">
            <x v="0"/>
          </reference>
        </references>
      </pivotArea>
    </format>
    <format dxfId="26">
      <pivotArea outline="0" fieldPosition="0">
        <references count="1">
          <reference field="4294967294" count="1">
            <x v="1"/>
          </reference>
        </references>
      </pivotArea>
    </format>
    <format dxfId="25">
      <pivotArea dataOnly="0" labelOnly="1" outline="0" fieldPosition="0">
        <references count="1">
          <reference field="4294967294" count="1">
            <x v="1"/>
          </reference>
        </references>
      </pivotArea>
    </format>
    <format dxfId="24">
      <pivotArea dataOnly="0" outline="0" fieldPosition="0">
        <references count="1">
          <reference field="4294967294" count="1">
            <x v="2"/>
          </reference>
        </references>
      </pivotArea>
    </format>
    <format dxfId="23">
      <pivotArea outline="0" fieldPosition="0">
        <references count="1">
          <reference field="4294967294" count="1">
            <x v="3"/>
          </reference>
        </references>
      </pivotArea>
    </format>
    <format dxfId="22">
      <pivotArea outline="0" fieldPosition="0">
        <references count="1">
          <reference field="4294967294" count="1">
            <x v="4"/>
          </reference>
        </references>
      </pivotArea>
    </format>
    <format dxfId="21">
      <pivotArea outline="0" fieldPosition="0">
        <references count="1">
          <reference field="4294967294" count="1">
            <x v="5"/>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8" series="1">
      <pivotArea type="data" outline="0" fieldPosition="0">
        <references count="1">
          <reference field="4294967294" count="1" selected="0">
            <x v="4"/>
          </reference>
        </references>
      </pivotArea>
    </chartFormat>
    <chartFormat chart="2" format="9"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LTV" cacheId="16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8" rowHeaderCaption="初始抵押率分布_x000a__x000a_" fieldListSortAscending="1">
  <location ref="DY20:EE31"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11">
    <i>
      <x/>
    </i>
    <i>
      <x v="1"/>
    </i>
    <i>
      <x v="2"/>
    </i>
    <i>
      <x v="3"/>
    </i>
    <i>
      <x v="4"/>
    </i>
    <i>
      <x v="5"/>
    </i>
    <i>
      <x v="6"/>
    </i>
    <i>
      <x v="7"/>
    </i>
    <i>
      <x v="8"/>
    </i>
    <i>
      <x v="9"/>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 name="合同金额" fld="7" baseField="5" baseItem="0" numFmtId="169"/>
    <dataField fld="8" showDataAs="percentOfTotal" baseField="5" baseItem="0" numFmtId="10"/>
  </dataFields>
  <formats count="7">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 dxfId="29">
      <pivotArea outline="0" fieldPosition="0">
        <references count="1">
          <reference field="4294967294" count="1">
            <x v="5"/>
          </reference>
        </references>
      </pivotArea>
    </format>
    <format dxfId="28">
      <pivotArea outline="0" fieldPosition="0">
        <references count="1">
          <reference field="4294967294" count="1">
            <x v="4"/>
          </reference>
        </references>
      </pivotArea>
    </format>
  </formats>
  <chartFormats count="2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0"/>
          </reference>
        </references>
      </pivotArea>
    </chartFormat>
    <chartFormat chart="4" format="25" series="1">
      <pivotArea type="data" outline="0" fieldPosition="0">
        <references count="1">
          <reference field="4294967294" count="1" selected="0">
            <x v="1"/>
          </reference>
        </references>
      </pivotArea>
    </chartFormat>
    <chartFormat chart="4" format="26" series="1">
      <pivotArea type="data" outline="0" fieldPosition="0">
        <references count="1">
          <reference field="4294967294" count="1" selected="0">
            <x v="2"/>
          </reference>
        </references>
      </pivotArea>
    </chartFormat>
    <chartFormat chart="4" format="27" series="1">
      <pivotArea type="data" outline="0" fieldPosition="0">
        <references count="1">
          <reference field="4294967294" count="1" selected="0">
            <x v="3"/>
          </reference>
        </references>
      </pivotArea>
    </chartFormat>
    <chartFormat chart="6" format="32" series="1">
      <pivotArea type="data" outline="0" fieldPosition="0">
        <references count="1">
          <reference field="4294967294" count="1" selected="0">
            <x v="0"/>
          </reference>
        </references>
      </pivotArea>
    </chartFormat>
    <chartFormat chart="6" format="33" series="1">
      <pivotArea type="data" outline="0" fieldPosition="0">
        <references count="1">
          <reference field="4294967294" count="1" selected="0">
            <x v="1"/>
          </reference>
        </references>
      </pivotArea>
    </chartFormat>
    <chartFormat chart="6" format="34" series="1">
      <pivotArea type="data" outline="0" fieldPosition="0">
        <references count="1">
          <reference field="4294967294" count="1" selected="0">
            <x v="2"/>
          </reference>
        </references>
      </pivotArea>
    </chartFormat>
    <chartFormat chart="6" format="35" series="1">
      <pivotArea type="data" outline="0" fieldPosition="0">
        <references count="1">
          <reference field="4294967294" count="1" selected="0">
            <x v="3"/>
          </reference>
        </references>
      </pivotArea>
    </chartFormat>
    <chartFormat chart="7" format="24" series="1">
      <pivotArea type="data" outline="0" fieldPosition="0">
        <references count="1">
          <reference field="4294967294" count="1" selected="0">
            <x v="0"/>
          </reference>
        </references>
      </pivotArea>
    </chartFormat>
    <chartFormat chart="7" format="25" series="1">
      <pivotArea type="data" outline="0" fieldPosition="0">
        <references count="1">
          <reference field="4294967294" count="1" selected="0">
            <x v="1"/>
          </reference>
        </references>
      </pivotArea>
    </chartFormat>
    <chartFormat chart="7" format="26" series="1">
      <pivotArea type="data" outline="0" fieldPosition="0">
        <references count="1">
          <reference field="4294967294" count="1" selected="0">
            <x v="2"/>
          </reference>
        </references>
      </pivotArea>
    </chartFormat>
    <chartFormat chart="7" format="27" series="1">
      <pivotArea type="data" outline="0" fieldPosition="0">
        <references count="1">
          <reference field="4294967294" count="1" selected="0">
            <x v="3"/>
          </reference>
        </references>
      </pivotArea>
    </chartFormat>
    <chartFormat chart="7" format="28" series="1">
      <pivotArea type="data" outline="0" fieldPosition="0">
        <references count="1">
          <reference field="4294967294" count="1" selected="0">
            <x v="4"/>
          </reference>
        </references>
      </pivotArea>
    </chartFormat>
    <chartFormat chart="7" format="29"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6"/>
      </mps>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RemainingTerm" cacheId="13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Q20:W26"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6">
    <i>
      <x/>
    </i>
    <i>
      <x v="1"/>
    </i>
    <i>
      <x v="2"/>
    </i>
    <i>
      <x v="3"/>
    </i>
    <i>
      <x v="4"/>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4"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 name="合同金额" fld="7" baseField="4" baseItem="0" numFmtId="169"/>
    <dataField fld="8" showDataAs="percentOfTotal" baseField="4" baseItem="0" numFmtId="10"/>
  </dataFields>
  <formats count="7">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fieldPosition="0">
        <references count="1">
          <reference field="4294967294" count="1">
            <x v="5"/>
          </reference>
        </references>
      </pivotArea>
    </format>
    <format dxfId="35">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ContractTerm" cacheId="12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G26" firstHeaderRow="0" firstDataRow="1" firstDataCol="1" rowPageCount="1" colPageCount="1"/>
  <pivotFields count="11">
    <pivotField axis="axisRow" allDrilled="1" showAll="0" dataSourceSort="1" defaultAttributeDrillState="1">
      <items count="6">
        <item x="0"/>
        <item x="1"/>
        <item x="2"/>
        <item x="3"/>
        <item x="4"/>
        <item t="default"/>
      </items>
    </pivotField>
    <pivotField showAll="0" dataSourceSort="1" defaultSubtotal="0" showPropTip="1"/>
    <pivotField axis="axisPage" allDrilled="1" showAll="0" dataSourceSort="1" defaultAttributeDrillState="1">
      <items count="1">
        <item t="default"/>
      </items>
    </pivotField>
    <pivotField showAll="0" dataSourceSort="1" defaultSubtotal="0" showPropTip="1"/>
    <pivotField dataField="1" showAll="0"/>
    <pivotField showAll="0" dataSourceSort="1" defaultSubtotal="0" showPropTip="1"/>
    <pivotField dataField="1" showAll="0"/>
    <pivotField dataField="1" showAll="0"/>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6">
    <i>
      <x/>
    </i>
    <i>
      <x v="1"/>
    </i>
    <i>
      <x v="2"/>
    </i>
    <i>
      <x v="3"/>
    </i>
    <i>
      <x v="4"/>
    </i>
    <i t="grand">
      <x/>
    </i>
  </rowItems>
  <colFields count="1">
    <field x="-2"/>
  </colFields>
  <colItems count="6">
    <i>
      <x/>
    </i>
    <i i="1">
      <x v="1"/>
    </i>
    <i i="2">
      <x v="2"/>
    </i>
    <i i="3">
      <x v="3"/>
    </i>
    <i i="4">
      <x v="4"/>
    </i>
    <i i="5">
      <x v="5"/>
    </i>
  </colItems>
  <pageFields count="1">
    <pageField fld="2" hier="9" name="[Date].[Date].[All]" cap="总计"/>
  </pageFields>
  <dataFields count="6">
    <dataField name="本金余额" fld="4" baseField="0" baseItem="0" numFmtId="166"/>
    <dataField name="本金余额占比" fld="10" showDataAs="percentOfTotal" baseField="0" baseItem="0" numFmtId="10">
      <extLst>
        <ext xmlns:x14="http://schemas.microsoft.com/office/spreadsheetml/2009/9/main" uri="{E15A36E0-9728-4e99-A89B-3F7291B0FE68}">
          <x14:dataField sourceField="4" uniqueName="[__Xl2].[Measures].[Current Principal Balance]"/>
        </ext>
      </extLst>
    </dataField>
    <dataField name="贷款笔数" fld="6" baseField="0" baseItem="0"/>
    <dataField fld="7" showDataAs="percentOfTotal" baseField="0" baseItem="0" numFmtId="10"/>
    <dataField name="合同金额" fld="8" baseField="0" baseItem="0" numFmtId="169"/>
    <dataField fld="9" showDataAs="percentOfTotal" baseField="0" baseItem="0" numFmtId="10"/>
  </dataFields>
  <formats count="6">
    <format dxfId="47">
      <pivotArea dataOnly="0" labelOnly="1"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dataOnly="0" labelOnly="1" outline="0" fieldPosition="0">
        <references count="1">
          <reference field="4294967294" count="1">
            <x v="1"/>
          </reference>
        </references>
      </pivotArea>
    </format>
    <format dxfId="44">
      <pivotArea outline="0" fieldPosition="0">
        <references count="1">
          <reference field="4294967294" count="1">
            <x v="3"/>
          </reference>
        </references>
      </pivotArea>
    </format>
    <format dxfId="43">
      <pivotArea outline="0" fieldPosition="0">
        <references count="1">
          <reference field="4294967294" count="1">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9" series="1">
      <pivotArea type="data" outline="0" fieldPosition="0">
        <references count="1">
          <reference field="4294967294" count="1" selected="0">
            <x v="3"/>
          </reference>
        </references>
      </pivotArea>
    </chartFormat>
    <chartFormat chart="0" format="10" series="1">
      <pivotArea type="data" outline="0" fieldPosition="0">
        <references count="1">
          <reference field="4294967294" count="1" selected="0">
            <x v="4"/>
          </reference>
        </references>
      </pivotArea>
    </chartFormat>
    <chartFormat chart="0" format="11" series="1">
      <pivotArea type="data" outline="0" fieldPosition="0">
        <references count="1">
          <reference field="4294967294" count="1" selected="0">
            <x v="5"/>
          </reference>
        </references>
      </pivotArea>
    </chartFormat>
  </chartFormats>
  <pivotHierarchies count="150">
    <pivotHierarchy/>
    <pivotHierarchy/>
    <pivotHierarchy/>
    <pivotHierarchy/>
    <pivotHierarchy/>
    <pivotHierarchy/>
    <pivotHierarchy/>
    <pivotHierarchy/>
    <pivotHierarchy/>
    <pivotHierarchy>
      <mps count="2">
        <mp field="3"/>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IsNewAuto" cacheId="17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2" rowHeaderCaption="车辆状态分布" fieldListSortAscending="1">
  <location ref="EO20:EU22"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2">
    <i>
      <x/>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5" baseItem="0" numFmtId="169"/>
    <dataField fld="7" showDataAs="percentOfTotal" baseField="5" baseItem="0" numFmtId="10"/>
  </dataFields>
  <formats count="7">
    <format dxfId="54">
      <pivotArea dataOnly="0" labelOnly="1" outline="0" fieldPosition="0">
        <references count="1">
          <reference field="4294967294" count="1">
            <x v="0"/>
          </reference>
        </references>
      </pivotArea>
    </format>
    <format dxfId="53">
      <pivotArea outline="0" fieldPosition="0">
        <references count="1">
          <reference field="4294967294" count="1">
            <x v="1"/>
          </reference>
        </references>
      </pivotArea>
    </format>
    <format dxfId="52">
      <pivotArea dataOnly="0" labelOnly="1" outline="0" fieldPosition="0">
        <references count="1">
          <reference field="4294967294" count="1">
            <x v="1"/>
          </reference>
        </references>
      </pivotArea>
    </format>
    <format dxfId="51">
      <pivotArea dataOnly="0"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5"/>
          </reference>
        </references>
      </pivotArea>
    </format>
    <format dxfId="48">
      <pivotArea outline="0" fieldPosition="0">
        <references count="1">
          <reference field="4294967294" count="1">
            <x v="4"/>
          </reference>
        </references>
      </pivotArea>
    </format>
  </formats>
  <chartFormats count="3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0"/>
          </reference>
        </references>
      </pivotArea>
    </chartFormat>
    <chartFormat chart="4" format="25" series="1">
      <pivotArea type="data" outline="0" fieldPosition="0">
        <references count="1">
          <reference field="4294967294" count="1" selected="0">
            <x v="1"/>
          </reference>
        </references>
      </pivotArea>
    </chartFormat>
    <chartFormat chart="4" format="26" series="1">
      <pivotArea type="data" outline="0" fieldPosition="0">
        <references count="1">
          <reference field="4294967294" count="1" selected="0">
            <x v="2"/>
          </reference>
        </references>
      </pivotArea>
    </chartFormat>
    <chartFormat chart="4" format="27" series="1">
      <pivotArea type="data" outline="0" fieldPosition="0">
        <references count="1">
          <reference field="4294967294" count="1" selected="0">
            <x v="3"/>
          </reference>
        </references>
      </pivotArea>
    </chartFormat>
    <chartFormat chart="6" format="32" series="1">
      <pivotArea type="data" outline="0" fieldPosition="0">
        <references count="1">
          <reference field="4294967294" count="1" selected="0">
            <x v="0"/>
          </reference>
        </references>
      </pivotArea>
    </chartFormat>
    <chartFormat chart="6" format="33" series="1">
      <pivotArea type="data" outline="0" fieldPosition="0">
        <references count="1">
          <reference field="4294967294" count="1" selected="0">
            <x v="1"/>
          </reference>
        </references>
      </pivotArea>
    </chartFormat>
    <chartFormat chart="6" format="34" series="1">
      <pivotArea type="data" outline="0" fieldPosition="0">
        <references count="1">
          <reference field="4294967294" count="1" selected="0">
            <x v="2"/>
          </reference>
        </references>
      </pivotArea>
    </chartFormat>
    <chartFormat chart="6" format="35" series="1">
      <pivotArea type="data" outline="0" fieldPosition="0">
        <references count="1">
          <reference field="4294967294" count="1" selected="0">
            <x v="3"/>
          </reference>
        </references>
      </pivotArea>
    </chartFormat>
    <chartFormat chart="8" format="32" series="1">
      <pivotArea type="data" outline="0" fieldPosition="0">
        <references count="1">
          <reference field="4294967294" count="1" selected="0">
            <x v="0"/>
          </reference>
        </references>
      </pivotArea>
    </chartFormat>
    <chartFormat chart="8" format="33" series="1">
      <pivotArea type="data" outline="0" fieldPosition="0">
        <references count="1">
          <reference field="4294967294" count="1" selected="0">
            <x v="1"/>
          </reference>
        </references>
      </pivotArea>
    </chartFormat>
    <chartFormat chart="8" format="34" series="1">
      <pivotArea type="data" outline="0" fieldPosition="0">
        <references count="1">
          <reference field="4294967294" count="1" selected="0">
            <x v="2"/>
          </reference>
        </references>
      </pivotArea>
    </chartFormat>
    <chartFormat chart="8" format="35" series="1">
      <pivotArea type="data" outline="0" fieldPosition="0">
        <references count="1">
          <reference field="4294967294" count="1" selected="0">
            <x v="3"/>
          </reference>
        </references>
      </pivotArea>
    </chartFormat>
    <chartFormat chart="10" format="32" series="1">
      <pivotArea type="data" outline="0" fieldPosition="0">
        <references count="1">
          <reference field="4294967294" count="1" selected="0">
            <x v="0"/>
          </reference>
        </references>
      </pivotArea>
    </chartFormat>
    <chartFormat chart="10" format="33" series="1">
      <pivotArea type="data" outline="0" fieldPosition="0">
        <references count="1">
          <reference field="4294967294" count="1" selected="0">
            <x v="1"/>
          </reference>
        </references>
      </pivotArea>
    </chartFormat>
    <chartFormat chart="10" format="34" series="1">
      <pivotArea type="data" outline="0" fieldPosition="0">
        <references count="1">
          <reference field="4294967294" count="1" selected="0">
            <x v="2"/>
          </reference>
        </references>
      </pivotArea>
    </chartFormat>
    <chartFormat chart="10" format="35" series="1">
      <pivotArea type="data" outline="0" fieldPosition="0">
        <references count="1">
          <reference field="4294967294" count="1" selected="0">
            <x v="3"/>
          </reference>
        </references>
      </pivotArea>
    </chartFormat>
    <chartFormat chart="11" format="24"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1"/>
          </reference>
        </references>
      </pivotArea>
    </chartFormat>
    <chartFormat chart="11" format="26" series="1">
      <pivotArea type="data" outline="0" fieldPosition="0">
        <references count="1">
          <reference field="4294967294" count="1" selected="0">
            <x v="2"/>
          </reference>
        </references>
      </pivotArea>
    </chartFormat>
    <chartFormat chart="11" format="27" series="1">
      <pivotArea type="data" outline="0" fieldPosition="0">
        <references count="1">
          <reference field="4294967294" count="1" selected="0">
            <x v="3"/>
          </reference>
        </references>
      </pivotArea>
    </chartFormat>
    <chartFormat chart="11" format="28" series="1">
      <pivotArea type="data" outline="0" fieldPosition="0">
        <references count="1">
          <reference field="4294967294" count="1" selected="0">
            <x v="4"/>
          </reference>
        </references>
      </pivotArea>
    </chartFormat>
    <chartFormat chart="11" format="29"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AutoBrand" cacheId="17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0" rowHeaderCaption="抵押车辆品牌分布_x000a__x000a_" fieldListSortAscending="1">
  <location ref="EG20:EM114"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9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5" baseItem="0" numFmtId="169"/>
    <dataField fld="7" showDataAs="percentOfTotal" baseField="5" baseItem="0" numFmtId="10"/>
  </dataFields>
  <formats count="7">
    <format dxfId="61">
      <pivotArea dataOnly="0" labelOnly="1" outline="0" fieldPosition="0">
        <references count="1">
          <reference field="4294967294" count="1">
            <x v="0"/>
          </reference>
        </references>
      </pivotArea>
    </format>
    <format dxfId="60">
      <pivotArea outline="0" fieldPosition="0">
        <references count="1">
          <reference field="4294967294" count="1">
            <x v="1"/>
          </reference>
        </references>
      </pivotArea>
    </format>
    <format dxfId="59">
      <pivotArea dataOnly="0" labelOnly="1" outline="0" fieldPosition="0">
        <references count="1">
          <reference field="4294967294" count="1">
            <x v="1"/>
          </reference>
        </references>
      </pivotArea>
    </format>
    <format dxfId="58">
      <pivotArea dataOnly="0" outline="0" fieldPosition="0">
        <references count="1">
          <reference field="4294967294" count="1">
            <x v="2"/>
          </reference>
        </references>
      </pivotArea>
    </format>
    <format dxfId="57">
      <pivotArea outline="0" fieldPosition="0">
        <references count="1">
          <reference field="4294967294" count="1">
            <x v="3"/>
          </reference>
        </references>
      </pivotArea>
    </format>
    <format dxfId="56">
      <pivotArea outline="0" fieldPosition="0">
        <references count="1">
          <reference field="4294967294" count="1">
            <x v="5"/>
          </reference>
        </references>
      </pivotArea>
    </format>
    <format dxfId="55">
      <pivotArea outline="0" fieldPosition="0">
        <references count="1">
          <reference field="4294967294" count="1">
            <x v="4"/>
          </reference>
        </references>
      </pivotArea>
    </format>
  </formats>
  <chartFormats count="2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0"/>
          </reference>
        </references>
      </pivotArea>
    </chartFormat>
    <chartFormat chart="4" format="25" series="1">
      <pivotArea type="data" outline="0" fieldPosition="0">
        <references count="1">
          <reference field="4294967294" count="1" selected="0">
            <x v="1"/>
          </reference>
        </references>
      </pivotArea>
    </chartFormat>
    <chartFormat chart="4" format="26" series="1">
      <pivotArea type="data" outline="0" fieldPosition="0">
        <references count="1">
          <reference field="4294967294" count="1" selected="0">
            <x v="2"/>
          </reference>
        </references>
      </pivotArea>
    </chartFormat>
    <chartFormat chart="4" format="27" series="1">
      <pivotArea type="data" outline="0" fieldPosition="0">
        <references count="1">
          <reference field="4294967294" count="1" selected="0">
            <x v="3"/>
          </reference>
        </references>
      </pivotArea>
    </chartFormat>
    <chartFormat chart="6" format="32" series="1">
      <pivotArea type="data" outline="0" fieldPosition="0">
        <references count="1">
          <reference field="4294967294" count="1" selected="0">
            <x v="0"/>
          </reference>
        </references>
      </pivotArea>
    </chartFormat>
    <chartFormat chart="6" format="33" series="1">
      <pivotArea type="data" outline="0" fieldPosition="0">
        <references count="1">
          <reference field="4294967294" count="1" selected="0">
            <x v="1"/>
          </reference>
        </references>
      </pivotArea>
    </chartFormat>
    <chartFormat chart="6" format="34" series="1">
      <pivotArea type="data" outline="0" fieldPosition="0">
        <references count="1">
          <reference field="4294967294" count="1" selected="0">
            <x v="2"/>
          </reference>
        </references>
      </pivotArea>
    </chartFormat>
    <chartFormat chart="6" format="35" series="1">
      <pivotArea type="data" outline="0" fieldPosition="0">
        <references count="1">
          <reference field="4294967294" count="1" selected="0">
            <x v="3"/>
          </reference>
        </references>
      </pivotArea>
    </chartFormat>
    <chartFormat chart="8" format="32" series="1">
      <pivotArea type="data" outline="0" fieldPosition="0">
        <references count="1">
          <reference field="4294967294" count="1" selected="0">
            <x v="0"/>
          </reference>
        </references>
      </pivotArea>
    </chartFormat>
    <chartFormat chart="8" format="33" series="1">
      <pivotArea type="data" outline="0" fieldPosition="0">
        <references count="1">
          <reference field="4294967294" count="1" selected="0">
            <x v="1"/>
          </reference>
        </references>
      </pivotArea>
    </chartFormat>
    <chartFormat chart="8" format="34" series="1">
      <pivotArea type="data" outline="0" fieldPosition="0">
        <references count="1">
          <reference field="4294967294" count="1" selected="0">
            <x v="2"/>
          </reference>
        </references>
      </pivotArea>
    </chartFormat>
    <chartFormat chart="8" format="35" series="1">
      <pivotArea type="data" outline="0" fieldPosition="0">
        <references count="1">
          <reference field="4294967294" count="1" selected="0">
            <x v="3"/>
          </reference>
        </references>
      </pivotArea>
    </chartFormat>
    <chartFormat chart="9" format="24"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1"/>
          </reference>
        </references>
      </pivotArea>
    </chartFormat>
    <chartFormat chart="9" format="26" series="1">
      <pivotArea type="data" outline="0" fieldPosition="0">
        <references count="1">
          <reference field="4294967294" count="1" selected="0">
            <x v="2"/>
          </reference>
        </references>
      </pivotArea>
    </chartFormat>
    <chartFormat chart="9" format="27" series="1">
      <pivotArea type="data" outline="0" fieldPosition="0">
        <references count="1">
          <reference field="4294967294" count="1" selected="0">
            <x v="3"/>
          </reference>
        </references>
      </pivotArea>
    </chartFormat>
    <chartFormat chart="9" format="28" series="1">
      <pivotArea type="data" outline="0" fieldPosition="0">
        <references count="1">
          <reference field="4294967294" count="1" selected="0">
            <x v="4"/>
          </reference>
        </references>
      </pivotArea>
    </chartFormat>
    <chartFormat chart="9" format="29"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FiveClass" cacheId="16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1" rowHeaderCaption="贷款五级分类分布_x000a_" fieldListSortAscending="1">
  <location ref="DQ20:DW27"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7">
    <i>
      <x/>
    </i>
    <i>
      <x v="1"/>
    </i>
    <i>
      <x v="2"/>
    </i>
    <i>
      <x v="3"/>
    </i>
    <i>
      <x v="4"/>
    </i>
    <i>
      <x v="5"/>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5" baseItem="0" numFmtId="169"/>
    <dataField fld="7" showDataAs="percentOfTotal" baseField="5" baseItem="0" numFmtId="10"/>
  </dataFields>
  <formats count="7">
    <format dxfId="68">
      <pivotArea dataOnly="0" labelOnly="1" outline="0" fieldPosition="0">
        <references count="1">
          <reference field="4294967294" count="1">
            <x v="0"/>
          </reference>
        </references>
      </pivotArea>
    </format>
    <format dxfId="67">
      <pivotArea outline="0" fieldPosition="0">
        <references count="1">
          <reference field="4294967294" count="1">
            <x v="1"/>
          </reference>
        </references>
      </pivotArea>
    </format>
    <format dxfId="66">
      <pivotArea dataOnly="0" labelOnly="1" outline="0" fieldPosition="0">
        <references count="1">
          <reference field="4294967294" count="1">
            <x v="1"/>
          </reference>
        </references>
      </pivotArea>
    </format>
    <format dxfId="65">
      <pivotArea dataOnly="0" outline="0" fieldPosition="0">
        <references count="1">
          <reference field="4294967294" count="1">
            <x v="2"/>
          </reference>
        </references>
      </pivotArea>
    </format>
    <format dxfId="64">
      <pivotArea outline="0" fieldPosition="0">
        <references count="1">
          <reference field="4294967294" count="1">
            <x v="3"/>
          </reference>
        </references>
      </pivotArea>
    </format>
    <format dxfId="63">
      <pivotArea outline="0" fieldPosition="0">
        <references count="1">
          <reference field="4294967294" count="1">
            <x v="5"/>
          </reference>
        </references>
      </pivotArea>
    </format>
    <format dxfId="62">
      <pivotArea outline="0" fieldPosition="0">
        <references count="1">
          <reference field="4294967294" count="1">
            <x v="4"/>
          </reference>
        </references>
      </pivotArea>
    </format>
  </format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0"/>
          </reference>
        </references>
      </pivotArea>
    </chartFormat>
    <chartFormat chart="4" format="25" series="1">
      <pivotArea type="data" outline="0" fieldPosition="0">
        <references count="1">
          <reference field="4294967294" count="1" selected="0">
            <x v="1"/>
          </reference>
        </references>
      </pivotArea>
    </chartFormat>
    <chartFormat chart="4" format="26" series="1">
      <pivotArea type="data" outline="0" fieldPosition="0">
        <references count="1">
          <reference field="4294967294" count="1" selected="0">
            <x v="2"/>
          </reference>
        </references>
      </pivotArea>
    </chartFormat>
    <chartFormat chart="4" format="27" series="1">
      <pivotArea type="data" outline="0" fieldPosition="0">
        <references count="1">
          <reference field="4294967294" count="1" selected="0">
            <x v="3"/>
          </reference>
        </references>
      </pivotArea>
    </chartFormat>
    <chartFormat chart="4" format="28" series="1">
      <pivotArea type="data" outline="0" fieldPosition="0">
        <references count="1">
          <reference field="4294967294" count="1" selected="0">
            <x v="4"/>
          </reference>
        </references>
      </pivotArea>
    </chartFormat>
    <chartFormat chart="4" format="29"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AnnualIncome" cacheId="157" applyNumberFormats="0" applyBorderFormats="0" applyFontFormats="0" applyPatternFormats="0" applyAlignmentFormats="0" applyWidthHeightFormats="1" dataCaption="Values" updatedVersion="5" minRefreshableVersion="3" useAutoFormatting="1" subtotalHiddenItems="1" itemPrintTitles="1" createdVersion="5" indent="0" outline="1" outlineData="1" multipleFieldFilters="0" chartFormat="17" rowHeaderCaption="年收入分布" fieldListSortAscending="1">
  <location ref="CS20:CY28"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showAll="0" dataSourceSort="1" defaultSubtotal="0" showPropTip="1"/>
    <pivotField axis="axisRow" allDrilled="1" showAll="0" dataSourceSort="1" defaultAttributeDrillState="1">
      <items count="8">
        <item x="0"/>
        <item x="1"/>
        <item x="2"/>
        <item x="3"/>
        <item x="4"/>
        <item x="5"/>
        <item x="6"/>
        <item t="default"/>
      </items>
    </pivotField>
    <pivotField dataField="1" showAll="0"/>
    <pivotField dataField="1" showAll="0"/>
    <pivotField dataField="1" showAll="0"/>
    <pivotField dataField="1" showAll="0"/>
    <pivotField showAll="0" dataSourceSort="1" defaultSubtotal="0" showPropTip="1"/>
    <pivotField dataField="1" showAll="0"/>
    <pivotField dataField="1" showAll="0"/>
  </pivotFields>
  <rowFields count="1">
    <field x="3"/>
  </rowFields>
  <rowItems count="8">
    <i>
      <x/>
    </i>
    <i>
      <x v="1"/>
    </i>
    <i>
      <x v="2"/>
    </i>
    <i>
      <x v="3"/>
    </i>
    <i>
      <x v="4"/>
    </i>
    <i>
      <x v="5"/>
    </i>
    <i>
      <x v="6"/>
    </i>
    <i t="grand">
      <x/>
    </i>
  </rowItems>
  <colFields count="1">
    <field x="-2"/>
  </colFields>
  <colItems count="6">
    <i>
      <x/>
    </i>
    <i i="1">
      <x v="1"/>
    </i>
    <i i="2">
      <x v="2"/>
    </i>
    <i i="3">
      <x v="3"/>
    </i>
    <i i="4">
      <x v="4"/>
    </i>
    <i i="5">
      <x v="5"/>
    </i>
  </colItems>
  <pageFields count="1">
    <pageField fld="0" hier="9" name="[Date].[Date].[All]" cap="总计"/>
  </pageFields>
  <dataFields count="6">
    <dataField name="本金余额" fld="4" baseField="3" baseItem="0"/>
    <dataField fld="5" showDataAs="percentOfTotal" baseField="3" baseItem="0" numFmtId="10"/>
    <dataField fld="6" baseField="0" baseItem="0"/>
    <dataField fld="7" showDataAs="percentOfTotal" baseField="3" baseItem="0" numFmtId="10"/>
    <dataField name="合同金额" fld="9" baseField="3" baseItem="0" numFmtId="169"/>
    <dataField fld="10" showDataAs="percentOfTotal" baseField="3" baseItem="0" numFmtId="10"/>
  </dataFields>
  <chartFormats count="10">
    <chartFormat chart="3" format="38" series="1">
      <pivotArea type="data" outline="0" fieldPosition="0">
        <references count="1">
          <reference field="4294967294" count="1" selected="0">
            <x v="0"/>
          </reference>
        </references>
      </pivotArea>
    </chartFormat>
    <chartFormat chart="3" format="39" series="1">
      <pivotArea type="data" outline="0" fieldPosition="0">
        <references count="1">
          <reference field="4294967294" count="1" selected="0">
            <x v="1"/>
          </reference>
        </references>
      </pivotArea>
    </chartFormat>
    <chartFormat chart="3" format="40" series="1">
      <pivotArea type="data" outline="0" fieldPosition="0">
        <references count="1">
          <reference field="4294967294" count="1" selected="0">
            <x v="2"/>
          </reference>
        </references>
      </pivotArea>
    </chartFormat>
    <chartFormat chart="3" format="41" series="1">
      <pivotArea type="data" outline="0" fieldPosition="0">
        <references count="1">
          <reference field="4294967294" count="1" selected="0">
            <x v="3"/>
          </reference>
        </references>
      </pivotArea>
    </chartFormat>
    <chartFormat chart="15" format="78" series="1">
      <pivotArea type="data" outline="0" fieldPosition="0">
        <references count="1">
          <reference field="4294967294" count="1" selected="0">
            <x v="0"/>
          </reference>
        </references>
      </pivotArea>
    </chartFormat>
    <chartFormat chart="15" format="79" series="1">
      <pivotArea type="data" outline="0" fieldPosition="0">
        <references count="1">
          <reference field="4294967294" count="1" selected="0">
            <x v="1"/>
          </reference>
        </references>
      </pivotArea>
    </chartFormat>
    <chartFormat chart="15" format="80" series="1">
      <pivotArea type="data" outline="0" fieldPosition="0">
        <references count="1">
          <reference field="4294967294" count="1" selected="0">
            <x v="2"/>
          </reference>
        </references>
      </pivotArea>
    </chartFormat>
    <chartFormat chart="15" format="81" series="1">
      <pivotArea type="data" outline="0" fieldPosition="0">
        <references count="1">
          <reference field="4294967294" count="1" selected="0">
            <x v="3"/>
          </reference>
        </references>
      </pivotArea>
    </chartFormat>
    <chartFormat chart="3" format="42" series="1">
      <pivotArea type="data" outline="0" fieldPosition="0">
        <references count="1">
          <reference field="4294967294" count="1" selected="0">
            <x v="4"/>
          </reference>
        </references>
      </pivotArea>
    </chartFormat>
    <chartFormat chart="3" format="43" series="1">
      <pivotArea type="data" outline="0" fieldPosition="0">
        <references count="1">
          <reference field="4294967294" count="1" selected="0">
            <x v="5"/>
          </reference>
        </references>
      </pivotArea>
    </chartFormat>
  </chartFormats>
  <pivotHierarchies count="149">
    <pivotHierarchy/>
    <pivotHierarchy/>
    <pivotHierarchy/>
    <pivotHierarchy/>
    <pivotHierarchy/>
    <pivotHierarchy/>
    <pivotHierarchy/>
    <pivotHierarchy/>
    <pivotHierarchy/>
    <pivotHierarchy>
      <mps count="2">
        <mp field="1"/>
        <mp field="2"/>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caption="合同总金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16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rowHeaderCaption="信用分数分布" fieldListSortAscending="1">
  <location ref="DI20:DO22"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showAll="0" dataSourceSort="1" defaultSubtotal="0" showPropTip="1"/>
    <pivotField dataField="1" showAll="0"/>
    <pivotField dataField="1" showAll="0"/>
    <pivotField dataField="1" showAll="0"/>
    <pivotField dataField="1" showAll="0"/>
    <pivotField axis="axisRow" allDrilled="1" showAll="0" dataSourceSort="1" defaultAttributeDrillState="1">
      <items count="2">
        <item x="0"/>
        <item t="default"/>
      </items>
    </pivotField>
    <pivotField showAll="0" dataSourceSort="1" defaultSubtotal="0" showPropTip="1"/>
    <pivotField dataField="1" showAll="0"/>
    <pivotField dataField="1" showAll="0"/>
  </pivotFields>
  <rowFields count="1">
    <field x="7"/>
  </rowFields>
  <rowItems count="2">
    <i>
      <x/>
    </i>
    <i t="grand">
      <x/>
    </i>
  </rowItems>
  <colFields count="1">
    <field x="-2"/>
  </colFields>
  <colItems count="6">
    <i>
      <x/>
    </i>
    <i i="1">
      <x v="1"/>
    </i>
    <i i="2">
      <x v="2"/>
    </i>
    <i i="3">
      <x v="3"/>
    </i>
    <i i="4">
      <x v="4"/>
    </i>
    <i i="5">
      <x v="5"/>
    </i>
  </colItems>
  <pageFields count="1">
    <pageField fld="0" hier="9" name="[Date].[Date].[All]" cap="总计"/>
  </pageFields>
  <dataFields count="6">
    <dataField name="本金余额" fld="3" baseField="7" baseItem="0"/>
    <dataField fld="4" showDataAs="percentOfTotal" baseField="7" baseItem="0" numFmtId="10"/>
    <dataField fld="5" baseField="0" baseItem="0"/>
    <dataField fld="6" showDataAs="percentOfTotal" baseField="7" baseItem="0" numFmtId="10"/>
    <dataField fld="9" baseField="0" baseItem="0" numFmtId="169"/>
    <dataField fld="10" showDataAs="percentOfTotal" baseField="7" baseItem="0" numFmtId="10"/>
  </dataFields>
  <chartFormats count="22">
    <chartFormat chart="3" format="38" series="1">
      <pivotArea type="data" outline="0" fieldPosition="0">
        <references count="1">
          <reference field="4294967294" count="1" selected="0">
            <x v="0"/>
          </reference>
        </references>
      </pivotArea>
    </chartFormat>
    <chartFormat chart="3" format="39" series="1">
      <pivotArea type="data" outline="0" fieldPosition="0">
        <references count="1">
          <reference field="4294967294" count="1" selected="0">
            <x v="1"/>
          </reference>
        </references>
      </pivotArea>
    </chartFormat>
    <chartFormat chart="3" format="40" series="1">
      <pivotArea type="data" outline="0" fieldPosition="0">
        <references count="1">
          <reference field="4294967294" count="1" selected="0">
            <x v="2"/>
          </reference>
        </references>
      </pivotArea>
    </chartFormat>
    <chartFormat chart="3" format="41" series="1">
      <pivotArea type="data" outline="0" fieldPosition="0">
        <references count="1">
          <reference field="4294967294" count="1" selected="0">
            <x v="3"/>
          </reference>
        </references>
      </pivotArea>
    </chartFormat>
    <chartFormat chart="5" format="46" series="1">
      <pivotArea type="data" outline="0" fieldPosition="0">
        <references count="1">
          <reference field="4294967294" count="1" selected="0">
            <x v="0"/>
          </reference>
        </references>
      </pivotArea>
    </chartFormat>
    <chartFormat chart="5" format="47" series="1">
      <pivotArea type="data" outline="0" fieldPosition="0">
        <references count="1">
          <reference field="4294967294" count="1" selected="0">
            <x v="1"/>
          </reference>
        </references>
      </pivotArea>
    </chartFormat>
    <chartFormat chart="5" format="48" series="1">
      <pivotArea type="data" outline="0" fieldPosition="0">
        <references count="1">
          <reference field="4294967294" count="1" selected="0">
            <x v="2"/>
          </reference>
        </references>
      </pivotArea>
    </chartFormat>
    <chartFormat chart="5" format="49" series="1">
      <pivotArea type="data" outline="0" fieldPosition="0">
        <references count="1">
          <reference field="4294967294" count="1" selected="0">
            <x v="3"/>
          </reference>
        </references>
      </pivotArea>
    </chartFormat>
    <chartFormat chart="6" format="86" series="1">
      <pivotArea type="data" outline="0" fieldPosition="0">
        <references count="1">
          <reference field="4294967294" count="1" selected="0">
            <x v="0"/>
          </reference>
        </references>
      </pivotArea>
    </chartFormat>
    <chartFormat chart="6" format="87" series="1">
      <pivotArea type="data" outline="0" fieldPosition="0">
        <references count="1">
          <reference field="4294967294" count="1" selected="0">
            <x v="1"/>
          </reference>
        </references>
      </pivotArea>
    </chartFormat>
    <chartFormat chart="6" format="88" series="1">
      <pivotArea type="data" outline="0" fieldPosition="0">
        <references count="1">
          <reference field="4294967294" count="1" selected="0">
            <x v="2"/>
          </reference>
        </references>
      </pivotArea>
    </chartFormat>
    <chartFormat chart="6" format="89" series="1">
      <pivotArea type="data" outline="0" fieldPosition="0">
        <references count="1">
          <reference field="4294967294" count="1" selected="0">
            <x v="3"/>
          </reference>
        </references>
      </pivotArea>
    </chartFormat>
    <chartFormat chart="8" format="94" series="1">
      <pivotArea type="data" outline="0" fieldPosition="0">
        <references count="1">
          <reference field="4294967294" count="1" selected="0">
            <x v="0"/>
          </reference>
        </references>
      </pivotArea>
    </chartFormat>
    <chartFormat chart="8" format="95" series="1">
      <pivotArea type="data" outline="0" fieldPosition="0">
        <references count="1">
          <reference field="4294967294" count="1" selected="0">
            <x v="1"/>
          </reference>
        </references>
      </pivotArea>
    </chartFormat>
    <chartFormat chart="8" format="96" series="1">
      <pivotArea type="data" outline="0" fieldPosition="0">
        <references count="1">
          <reference field="4294967294" count="1" selected="0">
            <x v="2"/>
          </reference>
        </references>
      </pivotArea>
    </chartFormat>
    <chartFormat chart="8" format="97" series="1">
      <pivotArea type="data" outline="0" fieldPosition="0">
        <references count="1">
          <reference field="4294967294" count="1" selected="0">
            <x v="3"/>
          </reference>
        </references>
      </pivotArea>
    </chartFormat>
    <chartFormat chart="9" format="86" series="1">
      <pivotArea type="data" outline="0" fieldPosition="0">
        <references count="1">
          <reference field="4294967294" count="1" selected="0">
            <x v="0"/>
          </reference>
        </references>
      </pivotArea>
    </chartFormat>
    <chartFormat chart="9" format="87" series="1">
      <pivotArea type="data" outline="0" fieldPosition="0">
        <references count="1">
          <reference field="4294967294" count="1" selected="0">
            <x v="1"/>
          </reference>
        </references>
      </pivotArea>
    </chartFormat>
    <chartFormat chart="9" format="88" series="1">
      <pivotArea type="data" outline="0" fieldPosition="0">
        <references count="1">
          <reference field="4294967294" count="1" selected="0">
            <x v="2"/>
          </reference>
        </references>
      </pivotArea>
    </chartFormat>
    <chartFormat chart="9" format="89" series="1">
      <pivotArea type="data" outline="0" fieldPosition="0">
        <references count="1">
          <reference field="4294967294" count="1" selected="0">
            <x v="3"/>
          </reference>
        </references>
      </pivotArea>
    </chartFormat>
    <chartFormat chart="9" format="90" series="1">
      <pivotArea type="data" outline="0" fieldPosition="0">
        <references count="1">
          <reference field="4294967294" count="1" selected="0">
            <x v="4"/>
          </reference>
        </references>
      </pivotArea>
    </chartFormat>
    <chartFormat chart="9" format="91" series="1">
      <pivotArea type="data" outline="0" fieldPosition="0">
        <references count="1">
          <reference field="4294967294" count="1" selected="0">
            <x v="5"/>
          </reference>
        </references>
      </pivotArea>
    </chartFormat>
  </chartFormats>
  <pivotHierarchies count="149">
    <pivotHierarchy/>
    <pivotHierarchy/>
    <pivotHierarchy/>
    <pivotHierarchy/>
    <pivotHierarchy/>
    <pivotHierarchy/>
    <pivotHierarchy/>
    <pivotHierarchy/>
    <pivotHierarchy/>
    <pivotHierarchy>
      <mps count="2">
        <mp field="1"/>
        <mp field="2"/>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caption="合同总金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5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ContractAmount" cacheId="13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7" rowHeaderCaption="合同金额分布" fieldListSortAscending="1">
  <location ref="AG20:AM27"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7">
        <item x="0"/>
        <item x="1"/>
        <item x="2"/>
        <item x="3"/>
        <item x="4"/>
        <item x="5"/>
        <item t="default"/>
      </items>
    </pivotField>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7">
    <i>
      <x/>
    </i>
    <i>
      <x v="1"/>
    </i>
    <i>
      <x v="2"/>
    </i>
    <i>
      <x v="3"/>
    </i>
    <i>
      <x v="4"/>
    </i>
    <i>
      <x v="5"/>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 name="合同金额" fld="7" baseField="5" baseItem="0" numFmtId="169"/>
    <dataField fld="8" showDataAs="percentOfTotal" baseField="5" baseItem="0" numFmtId="10"/>
  </dataFields>
  <formats count="7">
    <format dxfId="75">
      <pivotArea dataOnly="0" labelOnly="1" outline="0" fieldPosition="0">
        <references count="1">
          <reference field="4294967294" count="1">
            <x v="0"/>
          </reference>
        </references>
      </pivotArea>
    </format>
    <format dxfId="74">
      <pivotArea outline="0" fieldPosition="0">
        <references count="1">
          <reference field="4294967294" count="1">
            <x v="1"/>
          </reference>
        </references>
      </pivotArea>
    </format>
    <format dxfId="73">
      <pivotArea dataOnly="0" labelOnly="1" outline="0" fieldPosition="0">
        <references count="1">
          <reference field="4294967294" count="1">
            <x v="1"/>
          </reference>
        </references>
      </pivotArea>
    </format>
    <format dxfId="72">
      <pivotArea dataOnly="0" outline="0" fieldPosition="0">
        <references count="1">
          <reference field="4294967294" count="1">
            <x v="2"/>
          </reference>
        </references>
      </pivotArea>
    </format>
    <format dxfId="71">
      <pivotArea outline="0" fieldPosition="0">
        <references count="1">
          <reference field="4294967294" count="1">
            <x v="3"/>
          </reference>
        </references>
      </pivotArea>
    </format>
    <format dxfId="70">
      <pivotArea outline="0" fieldPosition="0">
        <references count="1">
          <reference field="4294967294" count="1">
            <x v="5"/>
          </reference>
        </references>
      </pivotArea>
    </format>
    <format dxfId="69">
      <pivotArea outline="0" fieldPosition="0">
        <references count="1">
          <reference field="4294967294" count="1">
            <x v="4"/>
          </reference>
        </references>
      </pivotArea>
    </format>
  </format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 chart="15" format="11" series="1">
      <pivotArea type="data" outline="0" fieldPosition="0">
        <references count="1">
          <reference field="4294967294" count="1" selected="0">
            <x v="3"/>
          </reference>
        </references>
      </pivotArea>
    </chartFormat>
    <chartFormat chart="16" format="86" series="1">
      <pivotArea type="data" outline="0" fieldPosition="0">
        <references count="1">
          <reference field="4294967294" count="1" selected="0">
            <x v="0"/>
          </reference>
        </references>
      </pivotArea>
    </chartFormat>
    <chartFormat chart="16" format="87" series="1">
      <pivotArea type="data" outline="0" fieldPosition="0">
        <references count="1">
          <reference field="4294967294" count="1" selected="0">
            <x v="1"/>
          </reference>
        </references>
      </pivotArea>
    </chartFormat>
    <chartFormat chart="16" format="88" series="1">
      <pivotArea type="data" outline="0" fieldPosition="0">
        <references count="1">
          <reference field="4294967294" count="1" selected="0">
            <x v="2"/>
          </reference>
        </references>
      </pivotArea>
    </chartFormat>
    <chartFormat chart="16" format="89" series="1">
      <pivotArea type="data" outline="0" fieldPosition="0">
        <references count="1">
          <reference field="4294967294" count="1" selected="0">
            <x v="3"/>
          </reference>
        </references>
      </pivotArea>
    </chartFormat>
    <chartFormat chart="16" format="90" series="1">
      <pivotArea type="data" outline="0" fieldPosition="0">
        <references count="1">
          <reference field="4294967294" count="1" selected="0">
            <x v="4"/>
          </reference>
        </references>
      </pivotArea>
    </chartFormat>
    <chartFormat chart="16" format="91"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Seasoning" cacheId="130"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I20:O24"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4">
    <i>
      <x/>
    </i>
    <i>
      <x v="1"/>
    </i>
    <i>
      <x v="2"/>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4"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 name="合同金额" fld="7" baseField="4" baseItem="0" numFmtId="169"/>
    <dataField fld="8" showDataAs="percentOfTotal" baseField="4" baseItem="0" numFmtId="10"/>
  </dataFields>
  <formats count="7">
    <format dxfId="82">
      <pivotArea dataOnly="0" labelOnly="1" outline="0" fieldPosition="0">
        <references count="1">
          <reference field="4294967294" count="1">
            <x v="0"/>
          </reference>
        </references>
      </pivotArea>
    </format>
    <format dxfId="81">
      <pivotArea outline="0" fieldPosition="0">
        <references count="1">
          <reference field="4294967294" count="1">
            <x v="1"/>
          </reference>
        </references>
      </pivotArea>
    </format>
    <format dxfId="80">
      <pivotArea dataOnly="0" labelOnly="1" outline="0" fieldPosition="0">
        <references count="1">
          <reference field="4294967294" count="1">
            <x v="1"/>
          </reference>
        </references>
      </pivotArea>
    </format>
    <format dxfId="79">
      <pivotArea dataOnly="0" outline="0" fieldPosition="0">
        <references count="1">
          <reference field="4294967294" count="1">
            <x v="2"/>
          </reference>
        </references>
      </pivotArea>
    </format>
    <format dxfId="78">
      <pivotArea outline="0" fieldPosition="0">
        <references count="1">
          <reference field="4294967294" count="1">
            <x v="3"/>
          </reference>
        </references>
      </pivotArea>
    </format>
    <format dxfId="77">
      <pivotArea outline="0" fieldPosition="0">
        <references count="1">
          <reference field="4294967294" count="1">
            <x v="5"/>
          </reference>
        </references>
      </pivotArea>
    </format>
    <format dxfId="76">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CustomerSector" cacheId="1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rowHeaderCaption="贷款行业分布" fieldListSortAscending="1">
  <location ref="CC20:CI86"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showAll="0" dataSourceSort="1" defaultSubtotal="0" showPropTip="1"/>
    <pivotField axis="axisRow" allDrilled="1" showAll="0" dataSourceSort="1" defaultAttributeDrillState="1">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dataField="1" showAll="0"/>
    <pivotField dataField="1" showAll="0"/>
    <pivotField dataField="1" showAll="0"/>
    <pivotField dataField="1" showAll="0"/>
    <pivotField dataField="1" showAll="0"/>
    <pivotField dataField="1" showAll="0"/>
  </pivotFields>
  <rowFields count="1">
    <field x="3"/>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1">
    <field x="-2"/>
  </colFields>
  <colItems count="6">
    <i>
      <x/>
    </i>
    <i i="1">
      <x v="1"/>
    </i>
    <i i="2">
      <x v="2"/>
    </i>
    <i i="3">
      <x v="3"/>
    </i>
    <i i="4">
      <x v="4"/>
    </i>
    <i i="5">
      <x v="5"/>
    </i>
  </colItems>
  <pageFields count="1">
    <pageField fld="0" hier="9" name="[Date].[Date].[All]" cap="总计"/>
  </pageFields>
  <dataFields count="6">
    <dataField name="本金余额" fld="4" baseField="3" baseItem="0"/>
    <dataField fld="5" showDataAs="percentOfTotal" baseField="3" baseItem="0" numFmtId="10"/>
    <dataField fld="6" baseField="0" baseItem="0"/>
    <dataField fld="7" showDataAs="percentOfTotal" baseField="3" baseItem="0" numFmtId="10"/>
    <dataField name="合同金额" fld="8" baseField="3" baseItem="0" numFmtId="169"/>
    <dataField fld="9" showDataAs="percentOfTotal" baseField="3" baseItem="0" numFmtId="10"/>
  </dataFields>
  <chartFormats count="6">
    <chartFormat chart="0" format="12" series="1">
      <pivotArea type="data" outline="0" fieldPosition="0">
        <references count="1">
          <reference field="4294967294" count="1" selected="0">
            <x v="0"/>
          </reference>
        </references>
      </pivotArea>
    </chartFormat>
    <chartFormat chart="0" format="13" series="1">
      <pivotArea type="data" outline="0" fieldPosition="0">
        <references count="1">
          <reference field="4294967294" count="1" selected="0">
            <x v="1"/>
          </reference>
        </references>
      </pivotArea>
    </chartFormat>
    <chartFormat chart="0" format="14" series="1">
      <pivotArea type="data" outline="0" fieldPosition="0">
        <references count="1">
          <reference field="4294967294" count="1" selected="0">
            <x v="2"/>
          </reference>
        </references>
      </pivotArea>
    </chartFormat>
    <chartFormat chart="0" format="15" series="1">
      <pivotArea type="data" outline="0" fieldPosition="0">
        <references count="1">
          <reference field="4294967294" count="1" selected="0">
            <x v="3"/>
          </reference>
        </references>
      </pivotArea>
    </chartFormat>
    <chartFormat chart="0" format="16" series="1">
      <pivotArea type="data" outline="0" fieldPosition="0">
        <references count="1">
          <reference field="4294967294" count="1" selected="0">
            <x v="4"/>
          </reference>
        </references>
      </pivotArea>
    </chartFormat>
    <chartFormat chart="0" format="17" series="1">
      <pivotArea type="data" outline="0" fieldPosition="0">
        <references count="1">
          <reference field="4294967294" count="1" selected="0">
            <x v="5"/>
          </reference>
        </references>
      </pivotArea>
    </chartFormat>
  </chartFormats>
  <pivotHierarchies count="149">
    <pivotHierarchy/>
    <pivotHierarchy/>
    <pivotHierarchy/>
    <pivotHierarchy/>
    <pivotHierarchy/>
    <pivotHierarchy/>
    <pivotHierarchy/>
    <pivotHierarchy/>
    <pivotHierarchy/>
    <pivotHierarchy>
      <mps count="2">
        <mp field="1"/>
        <mp field="2"/>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caption="合同总金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Balance" cacheId="12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O20:AU42"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4"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 name="合同金额" fld="7" baseField="4" baseItem="0" numFmtId="169"/>
    <dataField fld="8" showDataAs="percentOfTotal" baseField="4" baseItem="0" numFmtId="10"/>
  </dataFields>
  <formats count="7">
    <format dxfId="89">
      <pivotArea dataOnly="0" labelOnly="1" outline="0" fieldPosition="0">
        <references count="1">
          <reference field="4294967294" count="1">
            <x v="0"/>
          </reference>
        </references>
      </pivotArea>
    </format>
    <format dxfId="88">
      <pivotArea outline="0" fieldPosition="0">
        <references count="1">
          <reference field="4294967294" count="1">
            <x v="1"/>
          </reference>
        </references>
      </pivotArea>
    </format>
    <format dxfId="87">
      <pivotArea dataOnly="0" labelOnly="1" outline="0" fieldPosition="0">
        <references count="1">
          <reference field="4294967294" count="1">
            <x v="1"/>
          </reference>
        </references>
      </pivotArea>
    </format>
    <format dxfId="86">
      <pivotArea dataOnly="0" outline="0" fieldPosition="0">
        <references count="1">
          <reference field="4294967294" count="1">
            <x v="2"/>
          </reference>
        </references>
      </pivotArea>
    </format>
    <format dxfId="85">
      <pivotArea outline="0" fieldPosition="0">
        <references count="1">
          <reference field="4294967294" count="1">
            <x v="3"/>
          </reference>
        </references>
      </pivotArea>
    </format>
    <format dxfId="84">
      <pivotArea outline="0" fieldPosition="0">
        <references count="1">
          <reference field="4294967294" count="1">
            <x v="4"/>
          </reference>
        </references>
      </pivotArea>
    </format>
    <format dxfId="83">
      <pivotArea outline="0" fieldPosition="0">
        <references count="1">
          <reference field="4294967294" count="1">
            <x v="5"/>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8" series="1">
      <pivotArea type="data" outline="0" fieldPosition="0">
        <references count="1">
          <reference field="4294967294" count="1" selected="0">
            <x v="4"/>
          </reference>
        </references>
      </pivotArea>
    </chartFormat>
    <chartFormat chart="0" format="9"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LoanType" cacheId="13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9" rowHeaderCaption="贷款类型分布" fieldListSortAscending="1">
  <location ref="AW20:BC24"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4">
        <item x="0"/>
        <item x="1"/>
        <item x="2"/>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4">
    <i>
      <x/>
    </i>
    <i>
      <x v="1"/>
    </i>
    <i>
      <x v="2"/>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5" baseItem="0" numFmtId="169"/>
    <dataField fld="7" showDataAs="percentOfTotal" baseField="5" baseItem="0" numFmtId="10"/>
  </dataFields>
  <formats count="7">
    <format dxfId="96">
      <pivotArea dataOnly="0" labelOnly="1" outline="0" fieldPosition="0">
        <references count="1">
          <reference field="4294967294" count="1">
            <x v="0"/>
          </reference>
        </references>
      </pivotArea>
    </format>
    <format dxfId="95">
      <pivotArea outline="0" fieldPosition="0">
        <references count="1">
          <reference field="4294967294" count="1">
            <x v="1"/>
          </reference>
        </references>
      </pivotArea>
    </format>
    <format dxfId="94">
      <pivotArea dataOnly="0" labelOnly="1" outline="0" fieldPosition="0">
        <references count="1">
          <reference field="4294967294" count="1">
            <x v="1"/>
          </reference>
        </references>
      </pivotArea>
    </format>
    <format dxfId="93">
      <pivotArea dataOnly="0"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5"/>
          </reference>
        </references>
      </pivotArea>
    </format>
    <format dxfId="90">
      <pivotArea outline="0" fieldPosition="0">
        <references count="1">
          <reference field="4294967294" count="1">
            <x v="4"/>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InterestType" cacheId="15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5" rowHeaderCaption="贷款利率类型分布" fieldListSortAscending="1">
  <location ref="CK20:CQ22" firstHeaderRow="0" firstDataRow="1" firstDataCol="1" rowPageCount="1" colPageCount="1"/>
  <pivotFields count="10">
    <pivotField axis="axisPage" allDrilled="1" showAll="0" dataSourceSort="1" defaultAttributeDrillState="1">
      <items count="1">
        <item t="default"/>
      </items>
    </pivotField>
    <pivotField showAll="0" dataSourceSort="1" defaultSubtotal="0" showPropTip="1"/>
    <pivotField dataField="1" showAll="0"/>
    <pivotField dataField="1" showAll="0"/>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5"/>
  </rowFields>
  <rowItems count="2">
    <i>
      <x/>
    </i>
    <i t="grand">
      <x/>
    </i>
  </rowItems>
  <colFields count="1">
    <field x="-2"/>
  </colFields>
  <colItems count="6">
    <i>
      <x/>
    </i>
    <i i="1">
      <x v="1"/>
    </i>
    <i i="2">
      <x v="2"/>
    </i>
    <i i="3">
      <x v="3"/>
    </i>
    <i i="4">
      <x v="4"/>
    </i>
    <i i="5">
      <x v="5"/>
    </i>
  </colItems>
  <pageFields count="1">
    <pageField fld="0" hier="9" name="[Date].[Date].[All]" cap="总计"/>
  </pageFields>
  <dataFields count="6">
    <dataField name="本金余额" fld="2" baseField="0" baseItem="0" numFmtId="166"/>
    <dataField name="本金余额占比" fld="8"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5" baseItem="0"/>
    <dataField name="贷款笔数占比" fld="9" showDataAs="percentOfTotal" baseField="0" baseItem="0" numFmtId="10">
      <extLst>
        <ext xmlns:x14="http://schemas.microsoft.com/office/spreadsheetml/2009/9/main" uri="{E15A36E0-9728-4e99-A89B-3F7291B0FE68}">
          <x14:dataField sourceField="3" uniqueName="[__Xl2].[Measures].[Loan Count]"/>
        </ext>
      </extLst>
    </dataField>
    <dataField name="合同金额" fld="6" baseField="5" baseItem="0" numFmtId="169"/>
    <dataField fld="7" showDataAs="percentOfTotal" baseField="5" baseItem="0" numFmtId="10"/>
  </dataFields>
  <formats count="7">
    <format dxfId="103">
      <pivotArea dataOnly="0" labelOnly="1" outline="0" fieldPosition="0">
        <references count="1">
          <reference field="4294967294" count="1">
            <x v="0"/>
          </reference>
        </references>
      </pivotArea>
    </format>
    <format dxfId="102">
      <pivotArea outline="0" fieldPosition="0">
        <references count="1">
          <reference field="4294967294" count="1">
            <x v="1"/>
          </reference>
        </references>
      </pivotArea>
    </format>
    <format dxfId="101">
      <pivotArea dataOnly="0" labelOnly="1" outline="0" fieldPosition="0">
        <references count="1">
          <reference field="4294967294" count="1">
            <x v="1"/>
          </reference>
        </references>
      </pivotArea>
    </format>
    <format dxfId="100">
      <pivotArea dataOnly="0" outline="0" fieldPosition="0">
        <references count="1">
          <reference field="4294967294" count="1">
            <x v="2"/>
          </reference>
        </references>
      </pivotArea>
    </format>
    <format dxfId="99">
      <pivotArea outline="0" fieldPosition="0">
        <references count="1">
          <reference field="4294967294" count="1">
            <x v="3"/>
          </reference>
        </references>
      </pivotArea>
    </format>
    <format dxfId="98">
      <pivotArea outline="0" fieldPosition="0">
        <references count="1">
          <reference field="4294967294" count="1">
            <x v="4"/>
          </reference>
        </references>
      </pivotArea>
    </format>
    <format dxfId="97">
      <pivotArea outline="0" fieldPosition="0">
        <references count="1">
          <reference field="4294967294" count="1">
            <x v="5"/>
          </reference>
        </references>
      </pivotArea>
    </format>
  </format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0"/>
          </reference>
        </references>
      </pivotArea>
    </chartFormat>
    <chartFormat chart="4" format="25" series="1">
      <pivotArea type="data" outline="0" fieldPosition="0">
        <references count="1">
          <reference field="4294967294" count="1" selected="0">
            <x v="1"/>
          </reference>
        </references>
      </pivotArea>
    </chartFormat>
    <chartFormat chart="4" format="26" series="1">
      <pivotArea type="data" outline="0" fieldPosition="0">
        <references count="1">
          <reference field="4294967294" count="1" selected="0">
            <x v="2"/>
          </reference>
        </references>
      </pivotArea>
    </chartFormat>
    <chartFormat chart="4" format="27" series="1">
      <pivotArea type="data" outline="0" fieldPosition="0">
        <references count="1">
          <reference field="4294967294" count="1" selected="0">
            <x v="3"/>
          </reference>
        </references>
      </pivotArea>
    </chartFormat>
    <chartFormat chart="4" format="28" series="1">
      <pivotArea type="data" outline="0" fieldPosition="0">
        <references count="1">
          <reference field="4294967294" count="1" selected="0">
            <x v="4"/>
          </reference>
        </references>
      </pivotArea>
    </chartFormat>
    <chartFormat chart="4" format="29" series="1">
      <pivotArea type="data" outline="0" fieldPosition="0">
        <references count="1">
          <reference field="4294967294" count="1" selected="0">
            <x v="5"/>
          </reference>
        </references>
      </pivotArea>
    </chartFormat>
  </chartFormats>
  <pivotHierarchies count="151">
    <pivotHierarchy/>
    <pivotHierarchy/>
    <pivotHierarchy/>
    <pivotHierarchy/>
    <pivotHierarchy/>
    <pivotHierarchy/>
    <pivotHierarchy/>
    <pivotHierarchy/>
    <pivotHierarchy/>
    <pivotHierarchy>
      <mps count="2">
        <mp field="1"/>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Age" cacheId="1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rowHeaderCaption="年龄分布" fieldListSortAscending="1">
  <location ref="DA20:DG26" firstHeaderRow="0" firstDataRow="1" firstDataCol="1" rowPageCount="1" colPageCount="1"/>
  <pivotFields count="11">
    <pivotField axis="axisPage" allDrilled="1" showAll="0" dataSourceSort="1" defaultAttributeDrillState="1">
      <items count="1">
        <item t="default"/>
      </items>
    </pivotField>
    <pivotField showAll="0" dataSourceSort="1" defaultSubtotal="0" showPropTip="1"/>
    <pivotField showAll="0" dataSourceSort="1" defaultSubtotal="0" showPropTip="1"/>
    <pivotField dataField="1" showAll="0"/>
    <pivotField dataField="1" showAll="0"/>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showAll="0"/>
    <pivotField dataField="1" showAll="0"/>
  </pivotFields>
  <rowFields count="1">
    <field x="7"/>
  </rowFields>
  <rowItems count="6">
    <i>
      <x/>
    </i>
    <i>
      <x v="1"/>
    </i>
    <i>
      <x v="2"/>
    </i>
    <i>
      <x v="3"/>
    </i>
    <i>
      <x v="4"/>
    </i>
    <i t="grand">
      <x/>
    </i>
  </rowItems>
  <colFields count="1">
    <field x="-2"/>
  </colFields>
  <colItems count="6">
    <i>
      <x/>
    </i>
    <i i="1">
      <x v="1"/>
    </i>
    <i i="2">
      <x v="2"/>
    </i>
    <i i="3">
      <x v="3"/>
    </i>
    <i i="4">
      <x v="4"/>
    </i>
    <i i="5">
      <x v="5"/>
    </i>
  </colItems>
  <pageFields count="1">
    <pageField fld="0" hier="9" name="[Date].[Date].[All]" cap="总计"/>
  </pageFields>
  <dataFields count="6">
    <dataField name="本金余额" fld="3" baseField="7" baseItem="0"/>
    <dataField fld="4" showDataAs="percentOfTotal" baseField="7" baseItem="0" numFmtId="10"/>
    <dataField fld="5" baseField="0" baseItem="0"/>
    <dataField fld="6" showDataAs="percentOfTotal" baseField="7" baseItem="0" numFmtId="10"/>
    <dataField name="合同金额" fld="9" baseField="7" baseItem="0" numFmtId="169"/>
    <dataField fld="10" showDataAs="percentOfTotal" baseField="7" baseItem="0" numFmtId="10"/>
  </dataFields>
  <chartFormats count="18">
    <chartFormat chart="3" format="38" series="1">
      <pivotArea type="data" outline="0" fieldPosition="0">
        <references count="1">
          <reference field="4294967294" count="1" selected="0">
            <x v="0"/>
          </reference>
        </references>
      </pivotArea>
    </chartFormat>
    <chartFormat chart="3" format="39" series="1">
      <pivotArea type="data" outline="0" fieldPosition="0">
        <references count="1">
          <reference field="4294967294" count="1" selected="0">
            <x v="1"/>
          </reference>
        </references>
      </pivotArea>
    </chartFormat>
    <chartFormat chart="3" format="40" series="1">
      <pivotArea type="data" outline="0" fieldPosition="0">
        <references count="1">
          <reference field="4294967294" count="1" selected="0">
            <x v="2"/>
          </reference>
        </references>
      </pivotArea>
    </chartFormat>
    <chartFormat chart="3" format="41" series="1">
      <pivotArea type="data" outline="0" fieldPosition="0">
        <references count="1">
          <reference field="4294967294" count="1" selected="0">
            <x v="3"/>
          </reference>
        </references>
      </pivotArea>
    </chartFormat>
    <chartFormat chart="5" format="46" series="1">
      <pivotArea type="data" outline="0" fieldPosition="0">
        <references count="1">
          <reference field="4294967294" count="1" selected="0">
            <x v="0"/>
          </reference>
        </references>
      </pivotArea>
    </chartFormat>
    <chartFormat chart="5" format="47" series="1">
      <pivotArea type="data" outline="0" fieldPosition="0">
        <references count="1">
          <reference field="4294967294" count="1" selected="0">
            <x v="1"/>
          </reference>
        </references>
      </pivotArea>
    </chartFormat>
    <chartFormat chart="5" format="48" series="1">
      <pivotArea type="data" outline="0" fieldPosition="0">
        <references count="1">
          <reference field="4294967294" count="1" selected="0">
            <x v="2"/>
          </reference>
        </references>
      </pivotArea>
    </chartFormat>
    <chartFormat chart="5" format="49" series="1">
      <pivotArea type="data" outline="0" fieldPosition="0">
        <references count="1">
          <reference field="4294967294" count="1" selected="0">
            <x v="3"/>
          </reference>
        </references>
      </pivotArea>
    </chartFormat>
    <chartFormat chart="6" format="86" series="1">
      <pivotArea type="data" outline="0" fieldPosition="0">
        <references count="1">
          <reference field="4294967294" count="1" selected="0">
            <x v="0"/>
          </reference>
        </references>
      </pivotArea>
    </chartFormat>
    <chartFormat chart="6" format="87" series="1">
      <pivotArea type="data" outline="0" fieldPosition="0">
        <references count="1">
          <reference field="4294967294" count="1" selected="0">
            <x v="1"/>
          </reference>
        </references>
      </pivotArea>
    </chartFormat>
    <chartFormat chart="6" format="88" series="1">
      <pivotArea type="data" outline="0" fieldPosition="0">
        <references count="1">
          <reference field="4294967294" count="1" selected="0">
            <x v="2"/>
          </reference>
        </references>
      </pivotArea>
    </chartFormat>
    <chartFormat chart="6" format="89" series="1">
      <pivotArea type="data" outline="0" fieldPosition="0">
        <references count="1">
          <reference field="4294967294" count="1" selected="0">
            <x v="3"/>
          </reference>
        </references>
      </pivotArea>
    </chartFormat>
    <chartFormat chart="8" format="94" series="1">
      <pivotArea type="data" outline="0" fieldPosition="0">
        <references count="1">
          <reference field="4294967294" count="1" selected="0">
            <x v="0"/>
          </reference>
        </references>
      </pivotArea>
    </chartFormat>
    <chartFormat chart="8" format="95" series="1">
      <pivotArea type="data" outline="0" fieldPosition="0">
        <references count="1">
          <reference field="4294967294" count="1" selected="0">
            <x v="1"/>
          </reference>
        </references>
      </pivotArea>
    </chartFormat>
    <chartFormat chart="8" format="96" series="1">
      <pivotArea type="data" outline="0" fieldPosition="0">
        <references count="1">
          <reference field="4294967294" count="1" selected="0">
            <x v="2"/>
          </reference>
        </references>
      </pivotArea>
    </chartFormat>
    <chartFormat chart="8" format="97" series="1">
      <pivotArea type="data" outline="0" fieldPosition="0">
        <references count="1">
          <reference field="4294967294" count="1" selected="0">
            <x v="3"/>
          </reference>
        </references>
      </pivotArea>
    </chartFormat>
    <chartFormat chart="6" format="90" series="1">
      <pivotArea type="data" outline="0" fieldPosition="0">
        <references count="1">
          <reference field="4294967294" count="1" selected="0">
            <x v="4"/>
          </reference>
        </references>
      </pivotArea>
    </chartFormat>
    <chartFormat chart="6" format="91" series="1">
      <pivotArea type="data" outline="0" fieldPosition="0">
        <references count="1">
          <reference field="4294967294" count="1" selected="0">
            <x v="5"/>
          </reference>
        </references>
      </pivotArea>
    </chartFormat>
  </chartFormats>
  <pivotHierarchies count="149">
    <pivotHierarchy/>
    <pivotHierarchy/>
    <pivotHierarchy/>
    <pivotHierarchy/>
    <pivotHierarchy/>
    <pivotHierarchy/>
    <pivotHierarchy/>
    <pivotHierarchy/>
    <pivotHierarchy/>
    <pivotHierarchy>
      <mps count="2">
        <mp field="1"/>
        <mp field="2"/>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caption="合同总金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DT" cacheId="190" applyNumberFormats="0" applyBorderFormats="0" applyFontFormats="0" applyPatternFormats="0" applyAlignmentFormats="0" applyWidthHeightFormats="1" dataCaption="Values" grandTotalCaption="总数" updatedVersion="5" minRefreshableVersion="3" useAutoFormatting="1" itemPrintTitles="1" createdVersion="5" indent="0" compact="0" compactData="0" gridDropZones="1" multipleFieldFilters="0" fieldListSortAscending="1">
  <location ref="B3:C8" firstHeaderRow="2" firstDataRow="2" firstDataCol="1" rowPageCount="1" colPageCount="1"/>
  <pivotFields count="5">
    <pivotField name="报表名称" axis="axisRow" compact="0" allDrilled="1" outline="0" showAll="0" dataSourceSort="1" defaultAttributeDrillState="1">
      <items count="4">
        <item x="0"/>
        <item x="1"/>
        <item x="2"/>
        <item t="default"/>
      </items>
    </pivotField>
    <pivotField axis="axisPage" compact="0" allDrilled="1" outline="0" showAll="0" dataSourceSort="1" defaultAttributeDrillState="1">
      <items count="1">
        <item t="default"/>
      </items>
    </pivotField>
    <pivotField compact="0" outline="0" showAll="0" dataSourceSort="1" defaultSubtotal="0" showPropTip="1"/>
    <pivotField compact="0" outline="0" showAll="0" dataSourceSort="1" defaultSubtotal="0" showPropTip="1"/>
    <pivotField dataField="1" compact="0" outline="0" showAll="0"/>
  </pivotFields>
  <rowFields count="1">
    <field x="0"/>
  </rowFields>
  <rowItems count="4">
    <i>
      <x/>
    </i>
    <i>
      <x v="1"/>
    </i>
    <i>
      <x v="2"/>
    </i>
    <i t="grand">
      <x/>
    </i>
  </rowItems>
  <colItems count="1">
    <i/>
  </colItems>
  <pageFields count="1">
    <pageField fld="1" hier="9" name="[Date].[Date].&amp;[20161130]" cap="30/11/2016"/>
  </pageFields>
  <dataFields count="1">
    <dataField fld="4" baseField="0" baseItem="0"/>
  </dataFields>
  <pivotHierarchies count="149">
    <pivotHierarchy/>
    <pivotHierarchy/>
    <pivotHierarchy/>
    <pivotHierarchy/>
    <pivotHierarchy/>
    <pivotHierarchy/>
    <pivotHierarchy/>
    <pivotHierarchy/>
    <pivotHierarchy/>
    <pivotHierarchy>
      <mps count="2">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1" sourceName="[Date].[Date]">
  <pivotTables>
    <pivotTable tabId="2" name="ptReportsDT"/>
  </pivotTables>
  <data>
    <olap pivotCacheId="259">
      <levels count="2">
        <level uniqueName="[Date].[Date].[(All)]" sourceCaption="(All)" count="0"/>
        <level uniqueName="[Date].[Date].[Date]" sourceCaption="Date" count="10">
          <ranges>
            <range startItem="0">
              <i n="[Date].[Date].&amp;[19000101]" c="01/01/1900"/>
              <i n="[Date].[Date].&amp;[20160430]" c="30/04/2016"/>
              <i n="[Date].[Date].&amp;[20161118]" c="18/11/2016"/>
              <i n="[Date].[Date].&amp;[20161121]" c="21/11/2016"/>
              <i n="[Date].[Date].&amp;[20161122]" c="22/11/2016"/>
              <i n="[Date].[Date].&amp;[20161123]" c="23/11/2016"/>
              <i n="[Date].[Date].&amp;[20161124]" c="24/11/2016"/>
              <i n="[Date].[Date].&amp;[20161125]" c="25/11/2016"/>
              <i n="[Date].[Date].&amp;[20161130]" c="30/11/2016"/>
              <i n="[Date].[Date].&amp;[20161201]" c="01/12/2016"/>
            </range>
          </ranges>
        </level>
      </levels>
      <selections count="1">
        <selection n="[Date].[Date].&amp;[20161130]"/>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1" cache="Slicer_Date1" caption="Date"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opLeftCell="A19" workbookViewId="0">
      <selection activeCell="E29" sqref="E29"/>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7</v>
      </c>
      <c r="B2" s="13" t="s" vm="2">
        <v>155</v>
      </c>
    </row>
    <row r="4" spans="1:6" ht="37.5" customHeight="1" x14ac:dyDescent="0.2">
      <c r="A4" s="34" t="s">
        <v>2</v>
      </c>
      <c r="B4" s="34" t="s">
        <v>6</v>
      </c>
      <c r="C4" s="33"/>
      <c r="D4" s="33"/>
      <c r="E4" s="33"/>
      <c r="F4" s="9"/>
    </row>
    <row r="5" spans="1:6" ht="39.950000000000003" customHeight="1" x14ac:dyDescent="0.2">
      <c r="A5" s="11" t="s">
        <v>8</v>
      </c>
      <c r="B5" s="11" t="s">
        <v>0</v>
      </c>
      <c r="E5" s="35" t="s">
        <v>5</v>
      </c>
    </row>
    <row r="6" spans="1:6" ht="20.100000000000001" customHeight="1" x14ac:dyDescent="0.2">
      <c r="A6" s="34" t="s">
        <v>16</v>
      </c>
      <c r="B6" s="34"/>
      <c r="C6" s="34"/>
      <c r="D6" s="34"/>
      <c r="E6" s="34"/>
    </row>
    <row r="7" spans="1:6" ht="39.950000000000003" customHeight="1" x14ac:dyDescent="0.2">
      <c r="A7" s="12" t="s">
        <v>9</v>
      </c>
      <c r="B7" s="11" t="s">
        <v>11</v>
      </c>
      <c r="E7" s="35" t="s">
        <v>5</v>
      </c>
    </row>
    <row r="8" spans="1:6" ht="39.950000000000003" customHeight="1" x14ac:dyDescent="0.2">
      <c r="A8" s="12" t="s">
        <v>12</v>
      </c>
      <c r="B8" s="11" t="s">
        <v>13</v>
      </c>
      <c r="E8" s="35" t="s">
        <v>5</v>
      </c>
    </row>
    <row r="9" spans="1:6" ht="39.950000000000003" customHeight="1" x14ac:dyDescent="0.2">
      <c r="A9" s="12" t="s">
        <v>14</v>
      </c>
      <c r="B9" s="11" t="s">
        <v>15</v>
      </c>
      <c r="E9" s="35" t="s">
        <v>5</v>
      </c>
    </row>
    <row r="10" spans="1:6" ht="20.100000000000001" customHeight="1" x14ac:dyDescent="0.2">
      <c r="A10" s="34" t="s">
        <v>17</v>
      </c>
      <c r="B10" s="34"/>
      <c r="C10" s="34"/>
      <c r="D10" s="34"/>
      <c r="E10" s="34"/>
    </row>
    <row r="11" spans="1:6" ht="39.950000000000003" customHeight="1" x14ac:dyDescent="0.2">
      <c r="A11" s="12" t="s">
        <v>20</v>
      </c>
      <c r="B11" s="11" t="s">
        <v>18</v>
      </c>
      <c r="E11" s="35" t="s">
        <v>5</v>
      </c>
    </row>
    <row r="12" spans="1:6" ht="39.950000000000003" customHeight="1" x14ac:dyDescent="0.2">
      <c r="A12" s="12" t="s">
        <v>80</v>
      </c>
      <c r="B12" s="11" t="s">
        <v>109</v>
      </c>
      <c r="E12" s="35" t="s">
        <v>5</v>
      </c>
    </row>
    <row r="13" spans="1:6" ht="39.950000000000003" customHeight="1" x14ac:dyDescent="0.2">
      <c r="A13" s="12" t="s">
        <v>19</v>
      </c>
      <c r="B13" s="11" t="s">
        <v>21</v>
      </c>
      <c r="E13" s="35" t="s">
        <v>5</v>
      </c>
    </row>
    <row r="14" spans="1:6" ht="20.100000000000001" customHeight="1" x14ac:dyDescent="0.2">
      <c r="A14" s="34" t="s">
        <v>23</v>
      </c>
      <c r="B14" s="34"/>
      <c r="C14" s="34"/>
      <c r="D14" s="34"/>
      <c r="E14" s="34"/>
    </row>
    <row r="15" spans="1:6" ht="39.950000000000003" customHeight="1" x14ac:dyDescent="0.2">
      <c r="A15" s="10" t="s">
        <v>81</v>
      </c>
      <c r="B15" s="11" t="s">
        <v>110</v>
      </c>
      <c r="E15" s="35" t="s">
        <v>5</v>
      </c>
    </row>
    <row r="16" spans="1:6" ht="39.950000000000003" customHeight="1" x14ac:dyDescent="0.2">
      <c r="A16" s="10" t="s">
        <v>82</v>
      </c>
      <c r="B16" s="11" t="s">
        <v>26</v>
      </c>
      <c r="E16" s="35" t="s">
        <v>5</v>
      </c>
    </row>
    <row r="17" spans="1:5" ht="39.950000000000003" customHeight="1" x14ac:dyDescent="0.2">
      <c r="A17" s="10" t="s">
        <v>29</v>
      </c>
      <c r="B17" s="11" t="s">
        <v>111</v>
      </c>
      <c r="E17" s="35" t="s">
        <v>5</v>
      </c>
    </row>
    <row r="18" spans="1:5" ht="39.950000000000003" customHeight="1" x14ac:dyDescent="0.2">
      <c r="A18" s="10" t="s">
        <v>78</v>
      </c>
      <c r="B18" s="11" t="s">
        <v>112</v>
      </c>
      <c r="E18" s="35" t="s">
        <v>5</v>
      </c>
    </row>
    <row r="19" spans="1:5" ht="39.950000000000003" customHeight="1" x14ac:dyDescent="0.2">
      <c r="A19" s="10" t="s">
        <v>27</v>
      </c>
      <c r="B19" s="11" t="s">
        <v>28</v>
      </c>
      <c r="E19" s="35" t="s">
        <v>5</v>
      </c>
    </row>
    <row r="20" spans="1:5" ht="39.950000000000003" customHeight="1" x14ac:dyDescent="0.2">
      <c r="A20" s="12" t="s">
        <v>79</v>
      </c>
      <c r="B20" s="11" t="s">
        <v>108</v>
      </c>
      <c r="E20" s="35" t="s">
        <v>5</v>
      </c>
    </row>
    <row r="21" spans="1:5" ht="39.950000000000003" customHeight="1" x14ac:dyDescent="0.2">
      <c r="A21" s="12" t="s">
        <v>69</v>
      </c>
      <c r="B21" s="11" t="s">
        <v>113</v>
      </c>
      <c r="E21" s="35" t="s">
        <v>5</v>
      </c>
    </row>
    <row r="22" spans="1:5" ht="39.950000000000003" customHeight="1" x14ac:dyDescent="0.2">
      <c r="A22" s="12" t="s">
        <v>75</v>
      </c>
      <c r="B22" s="11" t="s">
        <v>114</v>
      </c>
      <c r="E22" s="35" t="s">
        <v>5</v>
      </c>
    </row>
    <row r="23" spans="1:5" ht="39.950000000000003" customHeight="1" x14ac:dyDescent="0.2">
      <c r="A23" s="12" t="s">
        <v>76</v>
      </c>
      <c r="B23" s="11" t="s">
        <v>115</v>
      </c>
      <c r="E23" s="35" t="s">
        <v>5</v>
      </c>
    </row>
    <row r="24" spans="1:5" ht="39.950000000000003" customHeight="1" x14ac:dyDescent="0.2">
      <c r="A24" s="10" t="s">
        <v>24</v>
      </c>
      <c r="B24" s="11" t="s">
        <v>25</v>
      </c>
      <c r="E24" s="35" t="s">
        <v>5</v>
      </c>
    </row>
    <row r="25" spans="1:5" ht="39.950000000000003" customHeight="1" x14ac:dyDescent="0.2">
      <c r="A25" s="10" t="s">
        <v>118</v>
      </c>
      <c r="B25" s="11" t="s">
        <v>119</v>
      </c>
      <c r="E25" s="35" t="s">
        <v>5</v>
      </c>
    </row>
    <row r="26" spans="1:5" ht="39.950000000000003" customHeight="1" x14ac:dyDescent="0.2">
      <c r="A26" s="10" t="s">
        <v>120</v>
      </c>
      <c r="B26" s="11" t="s">
        <v>121</v>
      </c>
      <c r="E26" s="35" t="s">
        <v>5</v>
      </c>
    </row>
    <row r="27" spans="1:5" ht="39.950000000000003" customHeight="1" x14ac:dyDescent="0.2">
      <c r="A27" s="10" t="s">
        <v>107</v>
      </c>
      <c r="B27" s="11" t="s">
        <v>122</v>
      </c>
      <c r="E27" s="35" t="s">
        <v>5</v>
      </c>
    </row>
    <row r="28" spans="1:5" ht="39.950000000000003" customHeight="1" x14ac:dyDescent="0.2">
      <c r="A28" s="34" t="s">
        <v>4</v>
      </c>
      <c r="B28" s="34"/>
      <c r="C28" s="34"/>
      <c r="D28" s="34"/>
      <c r="E28" s="34"/>
    </row>
    <row r="29" spans="1:5" ht="39.950000000000003" customHeight="1" x14ac:dyDescent="0.2">
      <c r="A29" s="11" t="s">
        <v>3</v>
      </c>
      <c r="B29" s="11" t="s">
        <v>1</v>
      </c>
      <c r="D29" s="15" t="s">
        <v>320</v>
      </c>
      <c r="E29" s="31" t="s">
        <v>5</v>
      </c>
    </row>
    <row r="30" spans="1:5" ht="39.950000000000003" customHeight="1" x14ac:dyDescent="0.2"/>
    <row r="31" spans="1:5" ht="39.950000000000003" customHeight="1" x14ac:dyDescent="0.2"/>
  </sheetData>
  <hyperlinks>
    <hyperlink ref="E7" location="Distributions!A20" display="查看"/>
    <hyperlink ref="E8" location="Distributions!I20" display="查看"/>
    <hyperlink ref="E9" location="Distributions!Q20" display="查看"/>
    <hyperlink ref="E11" location="Distributions!Y20" display="查看"/>
    <hyperlink ref="E13" location="Distributions!AO20" display="查看"/>
    <hyperlink ref="E24" location="Distributions!DQ20" display="查看"/>
    <hyperlink ref="E16" location="Distributions!BE20" display="查看"/>
    <hyperlink ref="E19" location="Distributions!CC20" display="查看"/>
    <hyperlink ref="E17" location="Distributions!BM20" display="查看"/>
    <hyperlink ref="E29" location="Reports!A1" display="Check"/>
    <hyperlink ref="E5" location="PoolStatistics!A1" display="查看"/>
    <hyperlink ref="E25" location="Distributions!DY20" display="查看"/>
    <hyperlink ref="E27" location="Distributions!EO20" display="查看"/>
    <hyperlink ref="E20" location="Distributions!CK20" display="查看"/>
    <hyperlink ref="E12" location="Distributions!AG20" display="查看"/>
    <hyperlink ref="E15" location="Distributions!AW20" display="查看"/>
    <hyperlink ref="E18" location="Distributions!BU20" display="查看"/>
    <hyperlink ref="E21" location="Distributions!CS20" display="查看"/>
    <hyperlink ref="E22" location="Distributions!DA20" display="查看"/>
    <hyperlink ref="E23" location="Distributions!DI20" display="查看"/>
    <hyperlink ref="E26" location="Distributions!EG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1" r:id="rId5" name="btnptDistAutoBrand">
          <controlPr autoLine="0" autoPict="0" r:id="rId6">
            <anchor moveWithCells="1">
              <from>
                <xdr:col>2</xdr:col>
                <xdr:colOff>95250</xdr:colOff>
                <xdr:row>25</xdr:row>
                <xdr:rowOff>104775</xdr:rowOff>
              </from>
              <to>
                <xdr:col>2</xdr:col>
                <xdr:colOff>1819275</xdr:colOff>
                <xdr:row>25</xdr:row>
                <xdr:rowOff>419100</xdr:rowOff>
              </to>
            </anchor>
          </controlPr>
        </control>
      </mc:Choice>
      <mc:Fallback>
        <control shapeId="1061" r:id="rId5" name="btnptDistAutoBrand"/>
      </mc:Fallback>
    </mc:AlternateContent>
    <mc:AlternateContent xmlns:mc="http://schemas.openxmlformats.org/markup-compatibility/2006">
      <mc:Choice Requires="x14">
        <control shapeId="1059" r:id="rId7" name="btnptDistIsNewAuto">
          <controlPr autoLine="0" r:id="rId8">
            <anchor moveWithCells="1">
              <from>
                <xdr:col>2</xdr:col>
                <xdr:colOff>95250</xdr:colOff>
                <xdr:row>26</xdr:row>
                <xdr:rowOff>104775</xdr:rowOff>
              </from>
              <to>
                <xdr:col>2</xdr:col>
                <xdr:colOff>1552575</xdr:colOff>
                <xdr:row>26</xdr:row>
                <xdr:rowOff>371475</xdr:rowOff>
              </to>
            </anchor>
          </controlPr>
        </control>
      </mc:Choice>
      <mc:Fallback>
        <control shapeId="1059" r:id="rId7" name="btnptDistIsNewAuto"/>
      </mc:Fallback>
    </mc:AlternateContent>
    <mc:AlternateContent xmlns:mc="http://schemas.openxmlformats.org/markup-compatibility/2006">
      <mc:Choice Requires="x14">
        <control shapeId="1058" r:id="rId9" name="btnptDistLTV">
          <controlPr autoLine="0" r:id="rId10">
            <anchor moveWithCells="1">
              <from>
                <xdr:col>2</xdr:col>
                <xdr:colOff>95250</xdr:colOff>
                <xdr:row>24</xdr:row>
                <xdr:rowOff>104775</xdr:rowOff>
              </from>
              <to>
                <xdr:col>2</xdr:col>
                <xdr:colOff>1552575</xdr:colOff>
                <xdr:row>24</xdr:row>
                <xdr:rowOff>371475</xdr:rowOff>
              </to>
            </anchor>
          </controlPr>
        </control>
      </mc:Choice>
      <mc:Fallback>
        <control shapeId="1058" r:id="rId9" name="btnptDistLTV"/>
      </mc:Fallback>
    </mc:AlternateContent>
    <mc:AlternateContent xmlns:mc="http://schemas.openxmlformats.org/markup-compatibility/2006">
      <mc:Choice Requires="x14">
        <control shapeId="1056" r:id="rId11" name="btnRefreshAll">
          <controlPr autoLine="0" r:id="rId12">
            <anchor moveWithCells="1">
              <from>
                <xdr:col>2</xdr:col>
                <xdr:colOff>66675</xdr:colOff>
                <xdr:row>3</xdr:row>
                <xdr:rowOff>66675</xdr:rowOff>
              </from>
              <to>
                <xdr:col>4</xdr:col>
                <xdr:colOff>228600</xdr:colOff>
                <xdr:row>3</xdr:row>
                <xdr:rowOff>390525</xdr:rowOff>
              </to>
            </anchor>
          </controlPr>
        </control>
      </mc:Choice>
      <mc:Fallback>
        <control shapeId="1056" r:id="rId11" name="btnRefreshAll"/>
      </mc:Fallback>
    </mc:AlternateContent>
    <mc:AlternateContent xmlns:mc="http://schemas.openxmlformats.org/markup-compatibility/2006">
      <mc:Choice Requires="x14">
        <control shapeId="1055" r:id="rId13" name="btnptReportsDT">
          <controlPr autoLine="0" r:id="rId14">
            <anchor moveWithCells="1">
              <from>
                <xdr:col>2</xdr:col>
                <xdr:colOff>95250</xdr:colOff>
                <xdr:row>28</xdr:row>
                <xdr:rowOff>104775</xdr:rowOff>
              </from>
              <to>
                <xdr:col>2</xdr:col>
                <xdr:colOff>1323975</xdr:colOff>
                <xdr:row>28</xdr:row>
                <xdr:rowOff>333375</xdr:rowOff>
              </to>
            </anchor>
          </controlPr>
        </control>
      </mc:Choice>
      <mc:Fallback>
        <control shapeId="1055" r:id="rId13" name="btnptReportsDT"/>
      </mc:Fallback>
    </mc:AlternateContent>
    <mc:AlternateContent xmlns:mc="http://schemas.openxmlformats.org/markup-compatibility/2006">
      <mc:Choice Requires="x14">
        <control shapeId="1038" r:id="rId15" name="btnptDistGuaranteeType">
          <controlPr autoLine="0" r:id="rId16">
            <anchor moveWithCells="1">
              <from>
                <xdr:col>2</xdr:col>
                <xdr:colOff>95250</xdr:colOff>
                <xdr:row>16</xdr:row>
                <xdr:rowOff>104775</xdr:rowOff>
              </from>
              <to>
                <xdr:col>2</xdr:col>
                <xdr:colOff>1552575</xdr:colOff>
                <xdr:row>16</xdr:row>
                <xdr:rowOff>371475</xdr:rowOff>
              </to>
            </anchor>
          </controlPr>
        </control>
      </mc:Choice>
      <mc:Fallback>
        <control shapeId="1038" r:id="rId15" name="btnptDistGuaranteeType"/>
      </mc:Fallback>
    </mc:AlternateContent>
    <mc:AlternateContent xmlns:mc="http://schemas.openxmlformats.org/markup-compatibility/2006">
      <mc:Choice Requires="x14">
        <control shapeId="1037" r:id="rId17" name="btnptDistCustomerSector">
          <controlPr autoLine="0" r:id="rId18">
            <anchor moveWithCells="1">
              <from>
                <xdr:col>2</xdr:col>
                <xdr:colOff>95250</xdr:colOff>
                <xdr:row>18</xdr:row>
                <xdr:rowOff>104775</xdr:rowOff>
              </from>
              <to>
                <xdr:col>2</xdr:col>
                <xdr:colOff>1552575</xdr:colOff>
                <xdr:row>18</xdr:row>
                <xdr:rowOff>371475</xdr:rowOff>
              </to>
            </anchor>
          </controlPr>
        </control>
      </mc:Choice>
      <mc:Fallback>
        <control shapeId="1037" r:id="rId17" name="btnptDistCustomerSector"/>
      </mc:Fallback>
    </mc:AlternateContent>
    <mc:AlternateContent xmlns:mc="http://schemas.openxmlformats.org/markup-compatibility/2006">
      <mc:Choice Requires="x14">
        <control shapeId="1036" r:id="rId19" name="btnptDistBranch">
          <controlPr autoLine="0" r:id="rId20">
            <anchor moveWithCells="1">
              <from>
                <xdr:col>2</xdr:col>
                <xdr:colOff>95250</xdr:colOff>
                <xdr:row>15</xdr:row>
                <xdr:rowOff>104775</xdr:rowOff>
              </from>
              <to>
                <xdr:col>2</xdr:col>
                <xdr:colOff>1552575</xdr:colOff>
                <xdr:row>15</xdr:row>
                <xdr:rowOff>371475</xdr:rowOff>
              </to>
            </anchor>
          </controlPr>
        </control>
      </mc:Choice>
      <mc:Fallback>
        <control shapeId="1036" r:id="rId19" name="btnptDistBranch"/>
      </mc:Fallback>
    </mc:AlternateContent>
    <mc:AlternateContent xmlns:mc="http://schemas.openxmlformats.org/markup-compatibility/2006">
      <mc:Choice Requires="x14">
        <control shapeId="1035" r:id="rId21" name="btnptDistFiveClass">
          <controlPr autoLine="0" r:id="rId22">
            <anchor moveWithCells="1">
              <from>
                <xdr:col>2</xdr:col>
                <xdr:colOff>95250</xdr:colOff>
                <xdr:row>23</xdr:row>
                <xdr:rowOff>104775</xdr:rowOff>
              </from>
              <to>
                <xdr:col>2</xdr:col>
                <xdr:colOff>1552575</xdr:colOff>
                <xdr:row>23</xdr:row>
                <xdr:rowOff>371475</xdr:rowOff>
              </to>
            </anchor>
          </controlPr>
        </control>
      </mc:Choice>
      <mc:Fallback>
        <control shapeId="1035" r:id="rId21" name="btnptDistFiveClass"/>
      </mc:Fallback>
    </mc:AlternateContent>
    <mc:AlternateContent xmlns:mc="http://schemas.openxmlformats.org/markup-compatibility/2006">
      <mc:Choice Requires="x14">
        <control shapeId="1033" r:id="rId23" name="btnptDistBalance">
          <controlPr autoLine="0" r:id="rId24">
            <anchor moveWithCells="1">
              <from>
                <xdr:col>2</xdr:col>
                <xdr:colOff>95250</xdr:colOff>
                <xdr:row>12</xdr:row>
                <xdr:rowOff>104775</xdr:rowOff>
              </from>
              <to>
                <xdr:col>2</xdr:col>
                <xdr:colOff>1552575</xdr:colOff>
                <xdr:row>12</xdr:row>
                <xdr:rowOff>371475</xdr:rowOff>
              </to>
            </anchor>
          </controlPr>
        </control>
      </mc:Choice>
      <mc:Fallback>
        <control shapeId="1033" r:id="rId23" name="btnptDistBalance"/>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10</xdr:row>
                <xdr:rowOff>104775</xdr:rowOff>
              </from>
              <to>
                <xdr:col>2</xdr:col>
                <xdr:colOff>1552575</xdr:colOff>
                <xdr:row>10</xdr:row>
                <xdr:rowOff>371475</xdr:rowOff>
              </to>
            </anchor>
          </controlPr>
        </control>
      </mc:Choice>
      <mc:Fallback>
        <control shapeId="1032" r:id="rId25" name="btnptDistInterest"/>
      </mc:Fallback>
    </mc:AlternateContent>
    <mc:AlternateContent xmlns:mc="http://schemas.openxmlformats.org/markup-compatibility/2006">
      <mc:Choice Requires="x14">
        <control shapeId="1031" r:id="rId27" name="btnptDistRemainingTerm">
          <controlPr autoLine="0" r:id="rId28">
            <anchor moveWithCells="1">
              <from>
                <xdr:col>2</xdr:col>
                <xdr:colOff>95250</xdr:colOff>
                <xdr:row>8</xdr:row>
                <xdr:rowOff>104775</xdr:rowOff>
              </from>
              <to>
                <xdr:col>2</xdr:col>
                <xdr:colOff>1552575</xdr:colOff>
                <xdr:row>8</xdr:row>
                <xdr:rowOff>371475</xdr:rowOff>
              </to>
            </anchor>
          </controlPr>
        </control>
      </mc:Choice>
      <mc:Fallback>
        <control shapeId="1031" r:id="rId27" name="btnptDistRemainingTerm"/>
      </mc:Fallback>
    </mc:AlternateContent>
    <mc:AlternateContent xmlns:mc="http://schemas.openxmlformats.org/markup-compatibility/2006">
      <mc:Choice Requires="x14">
        <control shapeId="1030" r:id="rId29" name="btnptDistSeasoning">
          <controlPr autoLine="0" r:id="rId30">
            <anchor moveWithCells="1">
              <from>
                <xdr:col>2</xdr:col>
                <xdr:colOff>95250</xdr:colOff>
                <xdr:row>7</xdr:row>
                <xdr:rowOff>104775</xdr:rowOff>
              </from>
              <to>
                <xdr:col>2</xdr:col>
                <xdr:colOff>1552575</xdr:colOff>
                <xdr:row>7</xdr:row>
                <xdr:rowOff>371475</xdr:rowOff>
              </to>
            </anchor>
          </controlPr>
        </control>
      </mc:Choice>
      <mc:Fallback>
        <control shapeId="1030" r:id="rId29" name="btnptDistSeasoning"/>
      </mc:Fallback>
    </mc:AlternateContent>
    <mc:AlternateContent xmlns:mc="http://schemas.openxmlformats.org/markup-compatibility/2006">
      <mc:Choice Requires="x14">
        <control shapeId="1029" r:id="rId31" name="btnptDistContractTerm">
          <controlPr autoLine="0" r:id="rId32">
            <anchor moveWithCells="1">
              <from>
                <xdr:col>2</xdr:col>
                <xdr:colOff>95250</xdr:colOff>
                <xdr:row>6</xdr:row>
                <xdr:rowOff>104775</xdr:rowOff>
              </from>
              <to>
                <xdr:col>2</xdr:col>
                <xdr:colOff>1552575</xdr:colOff>
                <xdr:row>6</xdr:row>
                <xdr:rowOff>371475</xdr:rowOff>
              </to>
            </anchor>
          </controlPr>
        </control>
      </mc:Choice>
      <mc:Fallback>
        <control shapeId="1029" r:id="rId31" name="btnptDistContractTerm"/>
      </mc:Fallback>
    </mc:AlternateContent>
    <mc:AlternateContent xmlns:mc="http://schemas.openxmlformats.org/markup-compatibility/2006">
      <mc:Choice Requires="x14">
        <control shapeId="1028" r:id="rId33" name="btnptSummary">
          <controlPr autoLine="0" r:id="rId34">
            <anchor moveWithCells="1">
              <from>
                <xdr:col>2</xdr:col>
                <xdr:colOff>95250</xdr:colOff>
                <xdr:row>4</xdr:row>
                <xdr:rowOff>104775</xdr:rowOff>
              </from>
              <to>
                <xdr:col>2</xdr:col>
                <xdr:colOff>1552575</xdr:colOff>
                <xdr:row>4</xdr:row>
                <xdr:rowOff>371475</xdr:rowOff>
              </to>
            </anchor>
          </controlPr>
        </control>
      </mc:Choice>
      <mc:Fallback>
        <control shapeId="1028" r:id="rId33" name="btnptSummary"/>
      </mc:Fallback>
    </mc:AlternateContent>
    <mc:AlternateContent xmlns:mc="http://schemas.openxmlformats.org/markup-compatibility/2006">
      <mc:Choice Requires="x14">
        <control shapeId="1025" r:id="rId35" name="btnFilter">
          <controlPr autoLine="0" r:id="rId36">
            <anchor moveWithCells="1">
              <from>
                <xdr:col>0</xdr:col>
                <xdr:colOff>28575</xdr:colOff>
                <xdr:row>0</xdr:row>
                <xdr:rowOff>19050</xdr:rowOff>
              </from>
              <to>
                <xdr:col>1</xdr:col>
                <xdr:colOff>752475</xdr:colOff>
                <xdr:row>0</xdr:row>
                <xdr:rowOff>523875</xdr:rowOff>
              </to>
            </anchor>
          </controlPr>
        </control>
      </mc:Choice>
      <mc:Fallback>
        <control shapeId="1025" r:id="rId35" name="btnFilter"/>
      </mc:Fallback>
    </mc:AlternateContent>
    <mc:AlternateContent xmlns:mc="http://schemas.openxmlformats.org/markup-compatibility/2006">
      <mc:Choice Requires="x14">
        <control shapeId="1063" r:id="rId37" name="btnptDistInterestType">
          <controlPr autoLine="0" r:id="rId38">
            <anchor moveWithCells="1">
              <from>
                <xdr:col>2</xdr:col>
                <xdr:colOff>95250</xdr:colOff>
                <xdr:row>19</xdr:row>
                <xdr:rowOff>104775</xdr:rowOff>
              </from>
              <to>
                <xdr:col>2</xdr:col>
                <xdr:colOff>1552575</xdr:colOff>
                <xdr:row>19</xdr:row>
                <xdr:rowOff>371475</xdr:rowOff>
              </to>
            </anchor>
          </controlPr>
        </control>
      </mc:Choice>
      <mc:Fallback>
        <control shapeId="1063" r:id="rId37" name="btnptDistInterestType"/>
      </mc:Fallback>
    </mc:AlternateContent>
    <mc:AlternateContent xmlns:mc="http://schemas.openxmlformats.org/markup-compatibility/2006">
      <mc:Choice Requires="x14">
        <control shapeId="1064" r:id="rId39" name="btnptDistContractAmount">
          <controlPr autoLine="0" r:id="rId40">
            <anchor moveWithCells="1">
              <from>
                <xdr:col>2</xdr:col>
                <xdr:colOff>95250</xdr:colOff>
                <xdr:row>11</xdr:row>
                <xdr:rowOff>104775</xdr:rowOff>
              </from>
              <to>
                <xdr:col>2</xdr:col>
                <xdr:colOff>1552575</xdr:colOff>
                <xdr:row>11</xdr:row>
                <xdr:rowOff>371475</xdr:rowOff>
              </to>
            </anchor>
          </controlPr>
        </control>
      </mc:Choice>
      <mc:Fallback>
        <control shapeId="1064" r:id="rId39" name="btnptDistContractAmount"/>
      </mc:Fallback>
    </mc:AlternateContent>
    <mc:AlternateContent xmlns:mc="http://schemas.openxmlformats.org/markup-compatibility/2006">
      <mc:Choice Requires="x14">
        <control shapeId="1065" r:id="rId41" name="btnptDistLoanType">
          <controlPr autoLine="0" r:id="rId42">
            <anchor moveWithCells="1">
              <from>
                <xdr:col>2</xdr:col>
                <xdr:colOff>95250</xdr:colOff>
                <xdr:row>14</xdr:row>
                <xdr:rowOff>104775</xdr:rowOff>
              </from>
              <to>
                <xdr:col>2</xdr:col>
                <xdr:colOff>1552575</xdr:colOff>
                <xdr:row>14</xdr:row>
                <xdr:rowOff>371475</xdr:rowOff>
              </to>
            </anchor>
          </controlPr>
        </control>
      </mc:Choice>
      <mc:Fallback>
        <control shapeId="1065" r:id="rId41" name="btnptDistLoanType"/>
      </mc:Fallback>
    </mc:AlternateContent>
    <mc:AlternateContent xmlns:mc="http://schemas.openxmlformats.org/markup-compatibility/2006">
      <mc:Choice Requires="x14">
        <control shapeId="1066" r:id="rId43" name="btnptDistPaymentType">
          <controlPr autoLine="0" r:id="rId44">
            <anchor moveWithCells="1">
              <from>
                <xdr:col>2</xdr:col>
                <xdr:colOff>95250</xdr:colOff>
                <xdr:row>17</xdr:row>
                <xdr:rowOff>104775</xdr:rowOff>
              </from>
              <to>
                <xdr:col>2</xdr:col>
                <xdr:colOff>1552575</xdr:colOff>
                <xdr:row>17</xdr:row>
                <xdr:rowOff>371475</xdr:rowOff>
              </to>
            </anchor>
          </controlPr>
        </control>
      </mc:Choice>
      <mc:Fallback>
        <control shapeId="1066" r:id="rId43" name="btnptDistPaymentType"/>
      </mc:Fallback>
    </mc:AlternateContent>
    <mc:AlternateContent xmlns:mc="http://schemas.openxmlformats.org/markup-compatibility/2006">
      <mc:Choice Requires="x14">
        <control shapeId="1067" r:id="rId45" name="btnptDistAnnualIncome">
          <controlPr autoLine="0" r:id="rId46">
            <anchor moveWithCells="1">
              <from>
                <xdr:col>2</xdr:col>
                <xdr:colOff>95250</xdr:colOff>
                <xdr:row>20</xdr:row>
                <xdr:rowOff>104775</xdr:rowOff>
              </from>
              <to>
                <xdr:col>2</xdr:col>
                <xdr:colOff>1552575</xdr:colOff>
                <xdr:row>20</xdr:row>
                <xdr:rowOff>371475</xdr:rowOff>
              </to>
            </anchor>
          </controlPr>
        </control>
      </mc:Choice>
      <mc:Fallback>
        <control shapeId="1067" r:id="rId45" name="btnptDistAnnualIncome"/>
      </mc:Fallback>
    </mc:AlternateContent>
    <mc:AlternateContent xmlns:mc="http://schemas.openxmlformats.org/markup-compatibility/2006">
      <mc:Choice Requires="x14">
        <control shapeId="1068" r:id="rId47" name="btnptDistAge">
          <controlPr autoLine="0" r:id="rId48">
            <anchor moveWithCells="1">
              <from>
                <xdr:col>2</xdr:col>
                <xdr:colOff>95250</xdr:colOff>
                <xdr:row>21</xdr:row>
                <xdr:rowOff>104775</xdr:rowOff>
              </from>
              <to>
                <xdr:col>2</xdr:col>
                <xdr:colOff>1552575</xdr:colOff>
                <xdr:row>21</xdr:row>
                <xdr:rowOff>371475</xdr:rowOff>
              </to>
            </anchor>
          </controlPr>
        </control>
      </mc:Choice>
      <mc:Fallback>
        <control shapeId="1068" r:id="rId47" name="btnptDistAge"/>
      </mc:Fallback>
    </mc:AlternateContent>
    <mc:AlternateContent xmlns:mc="http://schemas.openxmlformats.org/markup-compatibility/2006">
      <mc:Choice Requires="x14">
        <control shapeId="1069" r:id="rId49" name="btnptDistCreditScore">
          <controlPr autoLine="0" r:id="rId50">
            <anchor moveWithCells="1">
              <from>
                <xdr:col>2</xdr:col>
                <xdr:colOff>95250</xdr:colOff>
                <xdr:row>22</xdr:row>
                <xdr:rowOff>104775</xdr:rowOff>
              </from>
              <to>
                <xdr:col>2</xdr:col>
                <xdr:colOff>1552575</xdr:colOff>
                <xdr:row>22</xdr:row>
                <xdr:rowOff>371475</xdr:rowOff>
              </to>
            </anchor>
          </controlPr>
        </control>
      </mc:Choice>
      <mc:Fallback>
        <control shapeId="1069" r:id="rId49" name="btnptDistCreditScor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election activeCell="A4" sqref="A4"/>
    </sheetView>
  </sheetViews>
  <sheetFormatPr defaultColWidth="9.140625" defaultRowHeight="12.75" x14ac:dyDescent="0.2"/>
  <cols>
    <col min="1" max="1" width="38.42578125" style="15" customWidth="1"/>
    <col min="2" max="2" width="17.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7</v>
      </c>
      <c r="B1" s="13" t="s" vm="1">
        <v>59</v>
      </c>
      <c r="C1"/>
    </row>
    <row r="2" spans="1:3" ht="15" x14ac:dyDescent="0.25">
      <c r="A2"/>
      <c r="B2"/>
      <c r="C2"/>
    </row>
    <row r="3" spans="1:3" ht="15" x14ac:dyDescent="0.25">
      <c r="A3" s="32" t="s">
        <v>8</v>
      </c>
      <c r="B3"/>
      <c r="C3"/>
    </row>
    <row r="4" spans="1:3" ht="15" x14ac:dyDescent="0.25">
      <c r="A4" s="36" t="s">
        <v>137</v>
      </c>
      <c r="B4" s="47">
        <v>280106</v>
      </c>
      <c r="C4"/>
    </row>
    <row r="5" spans="1:3" ht="15" x14ac:dyDescent="0.25">
      <c r="A5" s="36" t="s">
        <v>136</v>
      </c>
      <c r="B5" s="42">
        <v>96422</v>
      </c>
      <c r="C5"/>
    </row>
    <row r="6" spans="1:3" ht="15" x14ac:dyDescent="0.25">
      <c r="A6" s="36" t="s">
        <v>138</v>
      </c>
      <c r="B6" s="46">
        <v>42599489439</v>
      </c>
      <c r="C6"/>
    </row>
    <row r="7" spans="1:3" ht="15" x14ac:dyDescent="0.25">
      <c r="A7" s="36" t="s">
        <v>139</v>
      </c>
      <c r="B7" s="46">
        <v>25057705178.229862</v>
      </c>
      <c r="C7"/>
    </row>
    <row r="8" spans="1:3" ht="15" x14ac:dyDescent="0.25">
      <c r="A8" s="36" t="s">
        <v>123</v>
      </c>
      <c r="B8" s="48">
        <v>259875.39335659769</v>
      </c>
      <c r="C8"/>
    </row>
    <row r="9" spans="1:3" ht="15" x14ac:dyDescent="0.25">
      <c r="A9" s="36" t="s">
        <v>140</v>
      </c>
      <c r="B9" s="48">
        <v>38000000</v>
      </c>
      <c r="C9"/>
    </row>
    <row r="10" spans="1:3" ht="15" x14ac:dyDescent="0.25">
      <c r="A10" s="36" t="s">
        <v>141</v>
      </c>
      <c r="B10" s="48">
        <v>89457.937988582402</v>
      </c>
      <c r="C10"/>
    </row>
    <row r="11" spans="1:3" ht="15" x14ac:dyDescent="0.25">
      <c r="A11" s="36" t="s">
        <v>142</v>
      </c>
      <c r="B11" s="48">
        <v>152083.45925828078</v>
      </c>
      <c r="C11"/>
    </row>
    <row r="12" spans="1:3" ht="15" x14ac:dyDescent="0.25">
      <c r="A12" s="36" t="s">
        <v>36</v>
      </c>
      <c r="B12" s="48">
        <v>50.114115524355924</v>
      </c>
      <c r="C12"/>
    </row>
    <row r="13" spans="1:3" ht="15" x14ac:dyDescent="0.25">
      <c r="A13" s="36" t="s">
        <v>37</v>
      </c>
      <c r="B13" s="48">
        <v>23.184761283301356</v>
      </c>
      <c r="C13"/>
    </row>
    <row r="14" spans="1:3" ht="15" x14ac:dyDescent="0.25">
      <c r="A14" s="36" t="s">
        <v>143</v>
      </c>
      <c r="B14" s="43">
        <v>26.987857111618908</v>
      </c>
      <c r="C14"/>
    </row>
    <row r="15" spans="1:3" ht="15" x14ac:dyDescent="0.25">
      <c r="A15" s="36" t="s">
        <v>144</v>
      </c>
      <c r="B15" s="40">
        <v>117</v>
      </c>
      <c r="C15"/>
    </row>
    <row r="16" spans="1:3" ht="15" x14ac:dyDescent="0.25">
      <c r="A16" s="36" t="s">
        <v>145</v>
      </c>
      <c r="B16" s="40">
        <v>0</v>
      </c>
      <c r="C16"/>
    </row>
    <row r="17" spans="1:3" ht="15" x14ac:dyDescent="0.25">
      <c r="A17" s="36" t="s">
        <v>135</v>
      </c>
      <c r="B17" s="44">
        <v>9.0317851141156577E-2</v>
      </c>
      <c r="C17"/>
    </row>
    <row r="18" spans="1:3" ht="15" x14ac:dyDescent="0.25">
      <c r="A18" s="36" t="s">
        <v>133</v>
      </c>
      <c r="B18" s="40">
        <v>3.3048000000000002</v>
      </c>
      <c r="C18"/>
    </row>
    <row r="19" spans="1:3" ht="15" x14ac:dyDescent="0.25">
      <c r="A19" s="36" t="s">
        <v>134</v>
      </c>
      <c r="B19" s="40">
        <v>0</v>
      </c>
      <c r="C19"/>
    </row>
    <row r="20" spans="1:3" ht="15" x14ac:dyDescent="0.25">
      <c r="A20" s="36" t="s">
        <v>146</v>
      </c>
      <c r="B20" s="46">
        <v>0</v>
      </c>
      <c r="C20"/>
    </row>
    <row r="21" spans="1:3" ht="15" x14ac:dyDescent="0.25">
      <c r="A21" s="36" t="s">
        <v>150</v>
      </c>
      <c r="B21" s="44">
        <v>0.33204657960425371</v>
      </c>
      <c r="C21"/>
    </row>
    <row r="22" spans="1:3" ht="15" x14ac:dyDescent="0.25">
      <c r="A22" s="36" t="s">
        <v>124</v>
      </c>
      <c r="B22" s="38" t="e">
        <v>#VALUE!</v>
      </c>
      <c r="C22"/>
    </row>
    <row r="23" spans="1:3" ht="15" x14ac:dyDescent="0.25">
      <c r="A23" s="36" t="s">
        <v>147</v>
      </c>
      <c r="B23" s="44">
        <v>31.786997436591236</v>
      </c>
      <c r="C23"/>
    </row>
    <row r="24" spans="1:3" ht="15" x14ac:dyDescent="0.25">
      <c r="A24" s="36" t="s">
        <v>125</v>
      </c>
      <c r="B24" s="38">
        <v>0.3459812193397524</v>
      </c>
      <c r="C24"/>
    </row>
    <row r="25" spans="1:3" ht="15" x14ac:dyDescent="0.25">
      <c r="A25" s="36" t="s">
        <v>148</v>
      </c>
      <c r="B25" s="46">
        <v>98777.801851653174</v>
      </c>
      <c r="C25"/>
    </row>
    <row r="26" spans="1:3" ht="15" x14ac:dyDescent="0.25">
      <c r="A26" s="36" t="s">
        <v>149</v>
      </c>
      <c r="B26" s="44">
        <v>1.355044455966363</v>
      </c>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51"/>
    </row>
    <row r="40" spans="1:5" x14ac:dyDescent="0.2">
      <c r="A40" s="16"/>
      <c r="D40" s="51"/>
    </row>
    <row r="41" spans="1:5" x14ac:dyDescent="0.2">
      <c r="A41" s="16"/>
      <c r="D41" s="5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56"/>
  <sheetViews>
    <sheetView topLeftCell="EN1" zoomScale="80" zoomScaleNormal="80" workbookViewId="0">
      <selection activeCell="ET20" sqref="ET20"/>
    </sheetView>
  </sheetViews>
  <sheetFormatPr defaultRowHeight="15" x14ac:dyDescent="0.25"/>
  <cols>
    <col min="1" max="1" width="17.42578125" customWidth="1"/>
    <col min="2" max="2" width="18.7109375" customWidth="1"/>
    <col min="3" max="3" width="14.28515625" customWidth="1"/>
    <col min="4" max="4" width="9.85546875" style="14" customWidth="1"/>
    <col min="5" max="5" width="14.28515625" customWidth="1"/>
    <col min="6" max="6" width="18.7109375" customWidth="1"/>
    <col min="7" max="7" width="14.28515625" style="13" customWidth="1"/>
    <col min="8" max="8" width="13" style="13" customWidth="1"/>
    <col min="9" max="9" width="26.5703125" customWidth="1"/>
    <col min="10" max="10" width="18.7109375" customWidth="1"/>
    <col min="11" max="11" width="14.28515625" customWidth="1"/>
    <col min="12" max="12" width="9.85546875" style="14" customWidth="1"/>
    <col min="13" max="13" width="14.28515625" style="14" customWidth="1"/>
    <col min="14" max="14" width="18.7109375" customWidth="1"/>
    <col min="15" max="15" width="14.28515625" style="13" customWidth="1"/>
    <col min="16" max="16" width="12.140625" style="13" customWidth="1"/>
    <col min="17" max="17" width="21.5703125" customWidth="1"/>
    <col min="18" max="18" width="18.7109375" customWidth="1"/>
    <col min="19" max="19" width="14.28515625" customWidth="1"/>
    <col min="20" max="20" width="9.85546875" customWidth="1"/>
    <col min="21" max="21" width="14.28515625" customWidth="1"/>
    <col min="22" max="22" width="18.7109375" style="14" customWidth="1"/>
    <col min="23" max="23" width="14.28515625" style="14" customWidth="1"/>
    <col min="24" max="24" width="13.140625" style="14" customWidth="1"/>
    <col min="25" max="25" width="25.5703125" customWidth="1"/>
    <col min="26" max="26" width="18.7109375" customWidth="1"/>
    <col min="27" max="27" width="14.28515625" customWidth="1"/>
    <col min="28" max="28" width="9.85546875" customWidth="1"/>
    <col min="29" max="29" width="14.28515625" customWidth="1"/>
    <col min="30" max="30" width="18.7109375" style="13" customWidth="1"/>
    <col min="31" max="32" width="14.28515625" style="13" customWidth="1"/>
    <col min="33" max="33" width="32.85546875" style="13" customWidth="1"/>
    <col min="34" max="34" width="18.7109375" style="13" customWidth="1"/>
    <col min="35" max="35" width="14.28515625" style="13" customWidth="1"/>
    <col min="36" max="36" width="9.85546875" style="13" customWidth="1"/>
    <col min="37" max="37" width="14.28515625" customWidth="1"/>
    <col min="38" max="38" width="18.7109375" style="13" customWidth="1"/>
    <col min="39" max="39" width="14.28515625" style="13" customWidth="1"/>
    <col min="40" max="40" width="14.5703125" style="13" customWidth="1"/>
    <col min="41" max="41" width="23.140625" style="14" customWidth="1"/>
    <col min="42" max="42" width="18.7109375" customWidth="1"/>
    <col min="43" max="43" width="14.28515625" customWidth="1"/>
    <col min="44" max="44" width="9.85546875" customWidth="1"/>
    <col min="45" max="45" width="14.28515625" customWidth="1"/>
    <col min="46" max="46" width="18.7109375" customWidth="1"/>
    <col min="47" max="47" width="14.28515625" style="13" customWidth="1"/>
    <col min="48" max="48" width="13.5703125" style="13" customWidth="1"/>
    <col min="49" max="49" width="17.140625" customWidth="1"/>
    <col min="50" max="50" width="18.7109375" style="14" customWidth="1"/>
    <col min="51" max="51" width="14.28515625" customWidth="1"/>
    <col min="52" max="52" width="9.85546875" customWidth="1"/>
    <col min="53" max="53" width="14.28515625" customWidth="1"/>
    <col min="54" max="54" width="18.7109375" customWidth="1"/>
    <col min="55" max="55" width="14.28515625" style="13" customWidth="1"/>
    <col min="56" max="56" width="13.42578125" style="13" customWidth="1"/>
    <col min="57" max="57" width="17.140625" customWidth="1"/>
    <col min="58" max="58" width="18.7109375" customWidth="1"/>
    <col min="59" max="59" width="14.28515625" style="14" customWidth="1"/>
    <col min="60" max="60" width="9.85546875" customWidth="1"/>
    <col min="61" max="61" width="14.28515625" customWidth="1"/>
    <col min="62" max="62" width="18.7109375" customWidth="1"/>
    <col min="63" max="63" width="14.28515625" style="13" customWidth="1"/>
    <col min="64" max="64" width="13.42578125" style="13" customWidth="1"/>
    <col min="65" max="65" width="17.140625" customWidth="1"/>
    <col min="66" max="66" width="18.7109375" customWidth="1"/>
    <col min="67" max="67" width="14.28515625" customWidth="1"/>
    <col min="68" max="68" width="9.85546875" style="14" customWidth="1"/>
    <col min="69" max="69" width="14.28515625" customWidth="1"/>
    <col min="70" max="70" width="18.7109375" customWidth="1"/>
    <col min="71" max="71" width="14.28515625" style="13" customWidth="1"/>
    <col min="72" max="72" width="12.28515625" style="13" customWidth="1"/>
    <col min="73" max="73" width="17.140625" customWidth="1"/>
    <col min="74" max="74" width="18.7109375" customWidth="1"/>
    <col min="75" max="75" width="14.28515625" customWidth="1"/>
    <col min="76" max="76" width="9.85546875" customWidth="1"/>
    <col min="77" max="77" width="14.28515625" style="14" customWidth="1"/>
    <col min="78" max="78" width="18.7109375" customWidth="1"/>
    <col min="79" max="79" width="14.28515625" style="13" customWidth="1"/>
    <col min="80" max="80" width="13.140625" style="13" customWidth="1"/>
    <col min="81" max="81" width="32.140625" customWidth="1"/>
    <col min="82" max="82" width="17.42578125" customWidth="1"/>
    <col min="83" max="83" width="14.28515625" customWidth="1"/>
    <col min="84" max="84" width="9.85546875" customWidth="1"/>
    <col min="85" max="85" width="14.28515625" customWidth="1"/>
    <col min="86" max="86" width="18.7109375" style="14" customWidth="1"/>
    <col min="87" max="88" width="14.28515625" style="14" customWidth="1"/>
    <col min="89" max="89" width="21.5703125" customWidth="1"/>
    <col min="90" max="90" width="18.7109375" customWidth="1"/>
    <col min="91" max="91" width="14.28515625" customWidth="1"/>
    <col min="92" max="92" width="9.85546875" customWidth="1"/>
    <col min="93" max="93" width="14.28515625" customWidth="1"/>
    <col min="94" max="94" width="18.7109375" style="14" customWidth="1"/>
    <col min="95" max="95" width="14.28515625" style="14" customWidth="1"/>
    <col min="96" max="96" width="14.140625" style="14" customWidth="1"/>
    <col min="97" max="97" width="19.85546875" customWidth="1"/>
    <col min="98" max="98" width="17.42578125" customWidth="1"/>
    <col min="99" max="99" width="14.28515625" bestFit="1" customWidth="1"/>
    <col min="100" max="100" width="9.85546875" customWidth="1"/>
    <col min="101" max="101" width="14.28515625" customWidth="1"/>
    <col min="102" max="102" width="18.7109375" customWidth="1"/>
    <col min="103" max="103" width="14.28515625" style="13" customWidth="1"/>
    <col min="104" max="104" width="14" style="13" customWidth="1"/>
    <col min="105" max="105" width="15.28515625" customWidth="1"/>
    <col min="106" max="106" width="17.42578125" customWidth="1"/>
    <col min="107" max="107" width="14.28515625" customWidth="1"/>
    <col min="108" max="108" width="9.85546875" customWidth="1"/>
    <col min="109" max="109" width="14.28515625" customWidth="1"/>
    <col min="110" max="110" width="18.7109375" customWidth="1"/>
    <col min="111" max="111" width="14.28515625" style="13" customWidth="1"/>
    <col min="112" max="112" width="13.85546875" style="13" customWidth="1"/>
    <col min="113" max="113" width="17.140625" customWidth="1"/>
    <col min="114" max="114" width="17.42578125" customWidth="1"/>
    <col min="115" max="115" width="14.28515625" customWidth="1"/>
    <col min="116" max="116" width="9.85546875" customWidth="1"/>
    <col min="117" max="117" width="14.28515625" customWidth="1"/>
    <col min="118" max="118" width="18.7109375" customWidth="1"/>
    <col min="119" max="119" width="14.28515625" style="13" customWidth="1"/>
    <col min="120" max="120" width="12.85546875" style="13" customWidth="1"/>
    <col min="121" max="121" width="21.5703125" style="14" customWidth="1"/>
    <col min="122" max="122" width="18.7109375" customWidth="1"/>
    <col min="123" max="123" width="14.28515625" customWidth="1"/>
    <col min="124" max="124" width="9.85546875" customWidth="1"/>
    <col min="125" max="125" width="14.28515625" bestFit="1" customWidth="1"/>
    <col min="126" max="126" width="18.7109375" customWidth="1"/>
    <col min="127" max="128" width="14.28515625" style="13" customWidth="1"/>
    <col min="129" max="129" width="19.28515625" customWidth="1"/>
    <col min="130" max="130" width="18.7109375" customWidth="1"/>
    <col min="131" max="131" width="14.28515625" customWidth="1"/>
    <col min="132" max="132" width="9.85546875" customWidth="1"/>
    <col min="133" max="133" width="14.28515625" customWidth="1"/>
    <col min="134" max="134" width="18.7109375" customWidth="1"/>
    <col min="135" max="135" width="14.28515625" style="13" customWidth="1"/>
    <col min="136" max="136" width="13.85546875" style="13" customWidth="1"/>
    <col min="137" max="137" width="21.5703125" customWidth="1"/>
    <col min="138" max="138" width="18.7109375" customWidth="1"/>
    <col min="139" max="139" width="14.28515625" customWidth="1"/>
    <col min="140" max="140" width="9.85546875" customWidth="1"/>
    <col min="141" max="141" width="14.28515625" customWidth="1"/>
    <col min="142" max="142" width="18.7109375" customWidth="1"/>
    <col min="143" max="143" width="14.28515625" style="13" customWidth="1"/>
    <col min="144" max="144" width="14" style="13" customWidth="1"/>
    <col min="145" max="145" width="17.140625" customWidth="1"/>
    <col min="146" max="146" width="18.7109375" customWidth="1"/>
    <col min="147" max="147" width="14.28515625" customWidth="1"/>
    <col min="148" max="148" width="9.85546875" customWidth="1"/>
    <col min="149" max="149" width="14.28515625" customWidth="1"/>
    <col min="150" max="150" width="18.7109375" customWidth="1"/>
    <col min="151" max="151" width="14.28515625" customWidth="1"/>
  </cols>
  <sheetData>
    <row r="1" spans="1:149" x14ac:dyDescent="0.25">
      <c r="C1" s="7"/>
      <c r="D1" s="8"/>
      <c r="E1" s="7"/>
      <c r="F1" s="7"/>
      <c r="G1" s="7"/>
      <c r="H1" s="7"/>
      <c r="K1" s="7"/>
      <c r="L1" s="8"/>
      <c r="M1" s="7"/>
      <c r="N1" s="7"/>
      <c r="O1" s="7"/>
      <c r="P1" s="7"/>
      <c r="S1" s="7"/>
      <c r="T1" s="8"/>
      <c r="U1" s="7"/>
      <c r="V1" s="8"/>
      <c r="W1" s="8"/>
      <c r="X1" s="8"/>
      <c r="AA1" s="7"/>
      <c r="AB1" s="8"/>
      <c r="AC1" s="7"/>
      <c r="AD1" s="7"/>
      <c r="AE1" s="7"/>
      <c r="AF1" s="7"/>
      <c r="AI1" s="7"/>
      <c r="AJ1" s="8"/>
      <c r="AK1" s="7"/>
      <c r="AL1" s="7"/>
      <c r="AM1" s="7"/>
      <c r="AN1" s="7"/>
      <c r="AQ1" s="7"/>
      <c r="AR1" s="8"/>
      <c r="AS1" s="7"/>
      <c r="AT1" s="6"/>
      <c r="AU1" s="6"/>
      <c r="AV1" s="6"/>
      <c r="AY1" s="7"/>
      <c r="AZ1" s="8"/>
      <c r="BA1" s="7"/>
      <c r="BB1" s="9"/>
      <c r="BC1" s="9"/>
      <c r="BD1" s="9"/>
      <c r="BG1" s="7"/>
      <c r="BH1" s="8"/>
      <c r="BI1" s="7"/>
      <c r="BO1" s="7"/>
      <c r="BP1" s="8"/>
      <c r="BQ1" s="7"/>
      <c r="BR1" s="7"/>
      <c r="BS1" s="7"/>
      <c r="BT1" s="7"/>
      <c r="BW1" s="7"/>
      <c r="BX1" s="8"/>
      <c r="BY1" s="7"/>
      <c r="BZ1" s="7"/>
      <c r="CA1" s="7"/>
      <c r="CB1" s="7"/>
      <c r="CC1" s="7"/>
      <c r="CE1" s="3"/>
      <c r="CF1" s="2"/>
      <c r="CG1" s="2"/>
      <c r="CH1" s="17"/>
      <c r="CI1" s="17"/>
      <c r="CJ1" s="17"/>
      <c r="CK1" s="13"/>
      <c r="CL1" s="14"/>
      <c r="CM1" s="7"/>
      <c r="CN1" s="8"/>
      <c r="CO1" s="7"/>
      <c r="CP1" s="8"/>
      <c r="CQ1" s="8"/>
      <c r="CR1" s="8"/>
      <c r="CS1" s="15"/>
      <c r="CT1" s="15"/>
      <c r="CU1" s="13"/>
      <c r="CV1" s="5"/>
      <c r="CW1" s="6"/>
      <c r="CX1" s="7"/>
      <c r="CY1" s="7"/>
      <c r="CZ1" s="7"/>
      <c r="DA1" s="15"/>
      <c r="DB1" s="15"/>
      <c r="DC1" s="13"/>
      <c r="DD1" s="5"/>
      <c r="DE1" s="6"/>
      <c r="DF1" s="7"/>
      <c r="DG1" s="7"/>
      <c r="DH1" s="7"/>
      <c r="DI1" s="15"/>
      <c r="DJ1" s="15"/>
      <c r="DK1" s="13"/>
      <c r="DL1" s="5"/>
      <c r="DM1" s="6"/>
      <c r="DN1" s="7"/>
      <c r="DO1" s="7"/>
      <c r="DP1" s="7"/>
      <c r="DQ1" s="13"/>
      <c r="DR1" s="14"/>
      <c r="DS1" s="7"/>
      <c r="DT1" s="8"/>
      <c r="DU1" s="7"/>
      <c r="DY1" s="13"/>
      <c r="DZ1" s="14"/>
      <c r="EA1" s="7"/>
      <c r="EB1" s="8"/>
      <c r="EC1" s="7"/>
      <c r="EG1" s="13"/>
      <c r="EH1" s="14"/>
      <c r="EI1" s="7"/>
      <c r="EJ1" s="8"/>
      <c r="EK1" s="7"/>
      <c r="EO1" s="13"/>
      <c r="EP1" s="14"/>
      <c r="EQ1" s="7"/>
      <c r="ER1" s="8"/>
      <c r="ES1" s="7"/>
    </row>
    <row r="2" spans="1:149" s="1" customFormat="1" x14ac:dyDescent="0.25">
      <c r="A2" s="16"/>
      <c r="B2" s="15"/>
      <c r="C2" s="7"/>
      <c r="D2" s="8"/>
      <c r="E2" s="7"/>
      <c r="F2" s="7"/>
      <c r="G2" s="7"/>
      <c r="H2" s="7"/>
      <c r="I2" s="16"/>
      <c r="J2" s="15"/>
      <c r="K2" s="7"/>
      <c r="L2" s="8"/>
      <c r="M2" s="7"/>
      <c r="N2" s="7"/>
      <c r="O2" s="7"/>
      <c r="P2" s="7"/>
      <c r="Q2" s="16"/>
      <c r="R2" s="15"/>
      <c r="S2" s="7"/>
      <c r="T2" s="8"/>
      <c r="U2" s="7"/>
      <c r="V2" s="8"/>
      <c r="W2" s="8"/>
      <c r="X2" s="8"/>
      <c r="Y2" s="16"/>
      <c r="Z2" s="15"/>
      <c r="AA2" s="7"/>
      <c r="AB2" s="8"/>
      <c r="AC2" s="7"/>
      <c r="AD2" s="7"/>
      <c r="AE2" s="7"/>
      <c r="AF2" s="7"/>
      <c r="AG2" s="16"/>
      <c r="AH2" s="15"/>
      <c r="AI2" s="7"/>
      <c r="AJ2" s="8"/>
      <c r="AK2" s="7"/>
      <c r="AL2" s="7"/>
      <c r="AM2" s="7"/>
      <c r="AN2" s="7"/>
      <c r="AO2" s="16"/>
      <c r="AP2" s="15"/>
      <c r="AQ2" s="7"/>
      <c r="AR2" s="8"/>
      <c r="AS2" s="7"/>
      <c r="AT2" s="15"/>
      <c r="AU2" s="15"/>
      <c r="AV2" s="15"/>
      <c r="AW2" s="16"/>
      <c r="AX2" s="15"/>
      <c r="AY2" s="7"/>
      <c r="AZ2" s="8"/>
      <c r="BA2" s="7"/>
      <c r="BB2" s="16"/>
      <c r="BC2" s="16"/>
      <c r="BD2" s="16"/>
      <c r="BE2" s="16"/>
      <c r="BF2" s="15"/>
      <c r="BG2" s="7"/>
      <c r="BH2" s="8"/>
      <c r="BI2" s="7"/>
      <c r="BK2" s="13"/>
      <c r="BL2" s="13"/>
      <c r="BM2" s="16"/>
      <c r="BN2" s="15"/>
      <c r="BO2" s="7"/>
      <c r="BP2" s="8"/>
      <c r="BQ2" s="7"/>
      <c r="BR2" s="7"/>
      <c r="BS2" s="7"/>
      <c r="BT2" s="7"/>
      <c r="BU2" s="16"/>
      <c r="BV2" s="15"/>
      <c r="BW2" s="7"/>
      <c r="BX2" s="8"/>
      <c r="BY2" s="7"/>
      <c r="BZ2" s="7"/>
      <c r="CA2" s="7"/>
      <c r="CB2" s="7"/>
      <c r="CC2" s="7"/>
      <c r="CE2" s="16"/>
      <c r="CF2" s="15"/>
      <c r="CG2" s="2"/>
      <c r="CH2" s="17"/>
      <c r="CI2" s="17"/>
      <c r="CJ2" s="17"/>
      <c r="CK2" s="16"/>
      <c r="CL2" s="15"/>
      <c r="CM2" s="7"/>
      <c r="CN2" s="8"/>
      <c r="CO2" s="7"/>
      <c r="CP2" s="8"/>
      <c r="CQ2" s="8"/>
      <c r="CR2" s="8"/>
      <c r="CS2" s="15"/>
      <c r="CT2" s="15"/>
      <c r="CU2" s="13"/>
      <c r="CV2" s="16"/>
      <c r="CW2" s="15"/>
      <c r="CX2" s="7"/>
      <c r="CY2" s="7"/>
      <c r="CZ2" s="7"/>
      <c r="DA2" s="15"/>
      <c r="DB2" s="15"/>
      <c r="DC2" s="13"/>
      <c r="DD2" s="16"/>
      <c r="DE2" s="15"/>
      <c r="DF2" s="7"/>
      <c r="DG2" s="7"/>
      <c r="DH2" s="7"/>
      <c r="DI2" s="15"/>
      <c r="DJ2" s="15"/>
      <c r="DK2" s="13"/>
      <c r="DL2" s="16"/>
      <c r="DM2" s="15"/>
      <c r="DN2" s="7"/>
      <c r="DO2" s="7"/>
      <c r="DP2" s="7"/>
      <c r="DQ2" s="16"/>
      <c r="DR2" s="15"/>
      <c r="DS2" s="7"/>
      <c r="DT2" s="8"/>
      <c r="DU2" s="7"/>
      <c r="DW2" s="13"/>
      <c r="DX2" s="13"/>
      <c r="DY2" s="16"/>
      <c r="DZ2" s="15"/>
      <c r="EA2" s="7"/>
      <c r="EB2" s="8"/>
      <c r="EC2" s="7"/>
      <c r="EE2" s="13"/>
      <c r="EF2" s="13"/>
      <c r="EG2" s="16"/>
      <c r="EH2" s="15"/>
      <c r="EI2" s="7"/>
      <c r="EJ2" s="8"/>
      <c r="EK2" s="7"/>
      <c r="EM2" s="13"/>
      <c r="EN2" s="13"/>
      <c r="EO2" s="16"/>
      <c r="EP2" s="15"/>
      <c r="EQ2" s="7"/>
      <c r="ER2" s="8"/>
      <c r="ES2" s="7"/>
    </row>
    <row r="3" spans="1:149" x14ac:dyDescent="0.25">
      <c r="AJ3" s="14"/>
      <c r="AK3" s="13"/>
      <c r="AT3" s="18"/>
      <c r="AU3" s="18"/>
      <c r="AV3" s="18"/>
      <c r="BB3" s="16"/>
      <c r="BC3" s="16"/>
      <c r="BD3" s="16"/>
      <c r="CE3" s="16"/>
      <c r="CF3" s="18"/>
      <c r="CG3" s="2"/>
      <c r="CH3" s="17"/>
      <c r="CI3" s="17"/>
      <c r="CJ3" s="17"/>
      <c r="CK3" s="13"/>
      <c r="CL3" s="14"/>
      <c r="CM3" s="13"/>
      <c r="CN3" s="13"/>
      <c r="CO3" s="14"/>
      <c r="CP3" s="17"/>
      <c r="CQ3" s="17"/>
      <c r="CR3" s="17"/>
      <c r="CS3" s="15"/>
      <c r="CT3" s="15"/>
      <c r="CU3" s="13"/>
      <c r="CV3" s="16"/>
      <c r="CW3" s="18"/>
      <c r="CX3" s="15"/>
      <c r="CY3" s="15"/>
      <c r="CZ3" s="15"/>
      <c r="DA3" s="15"/>
      <c r="DB3" s="15"/>
      <c r="DC3" s="13"/>
      <c r="DD3" s="16"/>
      <c r="DE3" s="18"/>
      <c r="DI3" s="15"/>
      <c r="DJ3" s="15"/>
      <c r="DK3" s="13"/>
      <c r="DL3" s="16"/>
      <c r="DM3" s="18"/>
      <c r="DN3" s="7"/>
      <c r="DO3" s="7"/>
      <c r="DP3" s="7"/>
      <c r="DQ3" s="13"/>
      <c r="DR3" s="14"/>
      <c r="DS3" s="13"/>
      <c r="DT3" s="13"/>
      <c r="DU3" s="13"/>
      <c r="DY3" s="13"/>
      <c r="DZ3" s="14"/>
      <c r="EA3" s="13"/>
      <c r="EB3" s="13"/>
      <c r="EC3" s="13"/>
      <c r="EG3" s="13"/>
      <c r="EH3" s="14"/>
      <c r="EI3" s="13"/>
      <c r="EJ3" s="13"/>
      <c r="EK3" s="13"/>
      <c r="EO3" s="13"/>
      <c r="EP3" s="14"/>
      <c r="EQ3" s="13"/>
      <c r="ER3" s="13"/>
      <c r="ES3" s="13"/>
    </row>
    <row r="4" spans="1:149" x14ac:dyDescent="0.25">
      <c r="AJ4" s="14"/>
      <c r="AK4" s="13"/>
      <c r="AT4" s="18"/>
      <c r="AU4" s="18"/>
      <c r="AV4" s="18"/>
      <c r="BB4" s="16"/>
      <c r="BC4" s="16"/>
      <c r="BD4" s="16"/>
      <c r="CE4" s="16"/>
      <c r="CF4" s="18"/>
      <c r="CG4" s="2"/>
      <c r="CH4" s="17"/>
      <c r="CI4" s="17"/>
      <c r="CJ4" s="17"/>
      <c r="CK4" s="13"/>
      <c r="CL4" s="14"/>
      <c r="CM4" s="13"/>
      <c r="CN4" s="13"/>
      <c r="CO4" s="14"/>
      <c r="CP4" s="17"/>
      <c r="CQ4" s="17"/>
      <c r="CR4" s="17"/>
      <c r="CS4" s="15"/>
      <c r="CT4" s="15"/>
      <c r="CU4" s="13"/>
      <c r="CV4" s="16"/>
      <c r="CW4" s="18"/>
      <c r="CX4" s="15"/>
      <c r="CY4" s="15"/>
      <c r="CZ4" s="15"/>
      <c r="DA4" s="15"/>
      <c r="DB4" s="15"/>
      <c r="DC4" s="13"/>
      <c r="DD4" s="16"/>
      <c r="DE4" s="18"/>
      <c r="DI4" s="15"/>
      <c r="DJ4" s="15"/>
      <c r="DK4" s="13"/>
      <c r="DL4" s="16"/>
      <c r="DM4" s="18"/>
      <c r="DN4" s="2"/>
      <c r="DO4" s="15"/>
      <c r="DP4" s="15"/>
      <c r="DQ4" s="13"/>
      <c r="DR4" s="14"/>
      <c r="DS4" s="13"/>
      <c r="DT4" s="13"/>
      <c r="DU4" s="13"/>
      <c r="DY4" s="13"/>
      <c r="DZ4" s="14"/>
      <c r="EA4" s="13"/>
      <c r="EB4" s="13"/>
      <c r="EC4" s="13"/>
      <c r="EG4" s="13"/>
      <c r="EH4" s="14"/>
      <c r="EI4" s="13"/>
      <c r="EJ4" s="13"/>
      <c r="EK4" s="13"/>
      <c r="EO4" s="13"/>
      <c r="EP4" s="14"/>
      <c r="EQ4" s="13"/>
      <c r="ER4" s="13"/>
      <c r="ES4" s="13"/>
    </row>
    <row r="5" spans="1:149" x14ac:dyDescent="0.25">
      <c r="AJ5" s="14"/>
      <c r="AK5" s="13"/>
      <c r="AT5" s="15"/>
      <c r="AU5" s="15"/>
      <c r="AV5" s="15"/>
      <c r="BB5" s="16"/>
      <c r="BC5" s="16"/>
      <c r="BD5" s="16"/>
      <c r="CE5" s="16"/>
      <c r="CF5" s="15"/>
      <c r="CG5" s="2"/>
      <c r="CH5" s="17"/>
      <c r="CI5" s="17"/>
      <c r="CJ5" s="17"/>
      <c r="CK5" s="13"/>
      <c r="CL5" s="14"/>
      <c r="CM5" s="13"/>
      <c r="CN5" s="13"/>
      <c r="CO5" s="14"/>
      <c r="CS5" s="15"/>
      <c r="CT5" s="15"/>
      <c r="CU5" s="13"/>
      <c r="CV5" s="16"/>
      <c r="CW5" s="15"/>
      <c r="CX5" s="13"/>
      <c r="DA5" s="15"/>
      <c r="DB5" s="15"/>
      <c r="DC5" s="13"/>
      <c r="DD5" s="16"/>
      <c r="DE5" s="15"/>
      <c r="DI5" s="15"/>
      <c r="DJ5" s="15"/>
      <c r="DK5" s="13"/>
      <c r="DL5" s="16"/>
      <c r="DM5" s="15"/>
      <c r="DN5" s="2"/>
      <c r="DO5" s="15"/>
      <c r="DP5" s="15"/>
      <c r="DQ5" s="13"/>
      <c r="DR5" s="14"/>
      <c r="DS5" s="13"/>
      <c r="DT5" s="13"/>
      <c r="DU5" s="13"/>
      <c r="DY5" s="13"/>
      <c r="DZ5" s="14"/>
      <c r="EA5" s="13"/>
      <c r="EB5" s="13"/>
      <c r="EC5" s="13"/>
      <c r="EG5" s="13"/>
      <c r="EH5" s="14"/>
      <c r="EI5" s="13"/>
      <c r="EJ5" s="13"/>
      <c r="EK5" s="13"/>
      <c r="EO5" s="13"/>
      <c r="EP5" s="14"/>
      <c r="EQ5" s="13"/>
      <c r="ER5" s="13"/>
      <c r="ES5" s="13"/>
    </row>
    <row r="6" spans="1:149" x14ac:dyDescent="0.25">
      <c r="AJ6" s="14"/>
      <c r="AK6" s="13"/>
      <c r="CE6" s="2"/>
      <c r="CF6" s="4"/>
      <c r="CG6" s="2"/>
      <c r="CH6" s="17"/>
      <c r="CI6" s="17"/>
      <c r="CJ6" s="17"/>
      <c r="CK6" s="13"/>
      <c r="CL6" s="14"/>
      <c r="CM6" s="13"/>
      <c r="CN6" s="13"/>
      <c r="CO6" s="14"/>
      <c r="CS6" s="15"/>
      <c r="CT6" s="15"/>
      <c r="CU6" s="13"/>
      <c r="CV6" s="13"/>
      <c r="CW6" s="13"/>
      <c r="CX6" s="13"/>
      <c r="DA6" s="15"/>
      <c r="DB6" s="15"/>
      <c r="DC6" s="13"/>
      <c r="DD6" s="13"/>
      <c r="DE6" s="13"/>
      <c r="DI6" s="15"/>
      <c r="DJ6" s="15"/>
      <c r="DK6" s="13"/>
      <c r="DL6" s="13"/>
      <c r="DM6" s="13"/>
      <c r="DQ6" s="13"/>
      <c r="DR6" s="14"/>
      <c r="DS6" s="13"/>
      <c r="DT6" s="13"/>
      <c r="DU6" s="13"/>
      <c r="DY6" s="13"/>
      <c r="DZ6" s="14"/>
      <c r="EA6" s="13"/>
      <c r="EB6" s="13"/>
      <c r="EC6" s="13"/>
      <c r="EG6" s="13"/>
      <c r="EH6" s="14"/>
      <c r="EI6" s="13"/>
      <c r="EJ6" s="13"/>
      <c r="EK6" s="13"/>
      <c r="EO6" s="13"/>
      <c r="EP6" s="14"/>
      <c r="EQ6" s="13"/>
      <c r="ER6" s="13"/>
      <c r="ES6" s="13"/>
    </row>
    <row r="7" spans="1:149" x14ac:dyDescent="0.25">
      <c r="F7" s="23"/>
      <c r="G7" s="23"/>
      <c r="H7" s="23"/>
      <c r="N7" s="23"/>
      <c r="O7" s="23"/>
      <c r="P7" s="23"/>
      <c r="V7" s="23"/>
      <c r="W7" s="23"/>
      <c r="X7" s="23"/>
      <c r="AJ7" s="14"/>
      <c r="AK7" s="13"/>
      <c r="AT7" s="24"/>
      <c r="AU7" s="24"/>
      <c r="AV7" s="24"/>
      <c r="BB7" s="15"/>
      <c r="BC7" s="15"/>
      <c r="BD7" s="15"/>
      <c r="BR7" s="23"/>
      <c r="BS7" s="23"/>
      <c r="BT7" s="23"/>
      <c r="BZ7" s="23"/>
      <c r="CA7" s="23"/>
      <c r="CB7" s="23"/>
      <c r="CC7" s="23"/>
      <c r="CE7" s="15"/>
      <c r="CF7" s="24"/>
      <c r="CG7" s="23"/>
      <c r="CH7" s="23"/>
      <c r="CI7" s="23"/>
      <c r="CJ7" s="23"/>
      <c r="CK7" s="13"/>
      <c r="CL7" s="14"/>
      <c r="CM7" s="13"/>
      <c r="CN7" s="13"/>
      <c r="CO7" s="14"/>
      <c r="CP7" s="23"/>
      <c r="CQ7" s="23"/>
      <c r="CR7" s="23"/>
      <c r="CS7" s="23"/>
      <c r="CT7" s="23"/>
      <c r="CU7" s="13"/>
      <c r="CV7" s="15"/>
      <c r="CW7" s="24"/>
      <c r="CX7" s="23"/>
      <c r="CY7" s="23"/>
      <c r="CZ7" s="23"/>
      <c r="DA7" s="23"/>
      <c r="DB7" s="23"/>
      <c r="DC7" s="13"/>
      <c r="DD7" s="15"/>
      <c r="DE7" s="24"/>
      <c r="DI7" s="23"/>
      <c r="DJ7" s="23"/>
      <c r="DK7" s="13"/>
      <c r="DL7" s="15"/>
      <c r="DM7" s="24"/>
      <c r="DQ7" s="13"/>
      <c r="DR7" s="14"/>
      <c r="DS7" s="13"/>
      <c r="DT7" s="13"/>
      <c r="DU7" s="13"/>
      <c r="DY7" s="13"/>
      <c r="DZ7" s="14"/>
      <c r="EA7" s="13"/>
      <c r="EB7" s="13"/>
      <c r="EC7" s="13"/>
      <c r="EG7" s="13"/>
      <c r="EH7" s="14"/>
      <c r="EI7" s="13"/>
      <c r="EJ7" s="13"/>
      <c r="EK7" s="13"/>
      <c r="EO7" s="13"/>
      <c r="EP7" s="14"/>
      <c r="EQ7" s="13"/>
      <c r="ER7" s="13"/>
      <c r="ES7" s="13"/>
    </row>
    <row r="8" spans="1:149" x14ac:dyDescent="0.25">
      <c r="F8" s="20"/>
      <c r="G8" s="20"/>
      <c r="H8" s="20"/>
      <c r="N8" s="20"/>
      <c r="O8" s="20"/>
      <c r="P8" s="20"/>
      <c r="V8" s="23"/>
      <c r="W8" s="23"/>
      <c r="X8" s="23"/>
      <c r="AJ8" s="14"/>
      <c r="AK8" s="13"/>
      <c r="AT8" s="24"/>
      <c r="AU8" s="24"/>
      <c r="AV8" s="24"/>
      <c r="BB8" s="15"/>
      <c r="BC8" s="15"/>
      <c r="BD8" s="15"/>
      <c r="BR8" s="20"/>
      <c r="BS8" s="20"/>
      <c r="BT8" s="20"/>
      <c r="BZ8" s="15"/>
      <c r="CA8" s="15"/>
      <c r="CB8" s="15"/>
      <c r="CC8" s="15"/>
      <c r="CE8" s="15"/>
      <c r="CF8" s="24"/>
      <c r="CG8" s="20"/>
      <c r="CH8" s="23"/>
      <c r="CI8" s="23"/>
      <c r="CJ8" s="23"/>
      <c r="CK8" s="13"/>
      <c r="CL8" s="14"/>
      <c r="CM8" s="13"/>
      <c r="CN8" s="13"/>
      <c r="CO8" s="14"/>
      <c r="CP8" s="23"/>
      <c r="CQ8" s="23"/>
      <c r="CR8" s="23"/>
      <c r="CS8" s="20"/>
      <c r="CT8" s="20"/>
      <c r="CU8" s="13"/>
      <c r="CV8" s="15"/>
      <c r="CW8" s="24"/>
      <c r="CX8" s="20"/>
      <c r="CY8" s="20"/>
      <c r="CZ8" s="20"/>
      <c r="DA8" s="20"/>
      <c r="DB8" s="20"/>
      <c r="DC8" s="13"/>
      <c r="DD8" s="15"/>
      <c r="DE8" s="24"/>
      <c r="DI8" s="20"/>
      <c r="DJ8" s="20"/>
      <c r="DK8" s="13"/>
      <c r="DL8" s="15"/>
      <c r="DM8" s="24"/>
      <c r="DN8" s="23"/>
      <c r="DO8" s="23"/>
      <c r="DP8" s="23"/>
      <c r="DQ8" s="13"/>
      <c r="DR8" s="14"/>
      <c r="DS8" s="13"/>
      <c r="DT8" s="13"/>
      <c r="DU8" s="13"/>
      <c r="DY8" s="13"/>
      <c r="DZ8" s="14"/>
      <c r="EA8" s="13"/>
      <c r="EB8" s="13"/>
      <c r="EC8" s="13"/>
      <c r="EG8" s="13"/>
      <c r="EH8" s="14"/>
      <c r="EI8" s="13"/>
      <c r="EJ8" s="13"/>
      <c r="EK8" s="13"/>
      <c r="EO8" s="13"/>
      <c r="EP8" s="14"/>
      <c r="EQ8" s="13"/>
      <c r="ER8" s="13"/>
      <c r="ES8" s="13"/>
    </row>
    <row r="9" spans="1:149" x14ac:dyDescent="0.25">
      <c r="F9" s="21"/>
      <c r="G9" s="21"/>
      <c r="H9" s="21"/>
      <c r="N9" s="21"/>
      <c r="O9" s="21"/>
      <c r="P9" s="21"/>
      <c r="V9" s="17"/>
      <c r="W9" s="17"/>
      <c r="X9" s="17"/>
      <c r="AJ9" s="14"/>
      <c r="AK9" s="13"/>
      <c r="AT9" s="27"/>
      <c r="AU9" s="27"/>
      <c r="AV9" s="27"/>
      <c r="BB9" s="20"/>
      <c r="BC9" s="20"/>
      <c r="BD9" s="20"/>
      <c r="BR9" s="21"/>
      <c r="BS9" s="21"/>
      <c r="BT9" s="21"/>
      <c r="BZ9" s="21"/>
      <c r="CA9" s="21"/>
      <c r="CB9" s="21"/>
      <c r="CC9" s="21"/>
      <c r="CE9" s="20"/>
      <c r="CF9" s="27"/>
      <c r="CG9" s="23"/>
      <c r="CH9" s="22"/>
      <c r="CI9" s="22"/>
      <c r="CJ9" s="22"/>
      <c r="CK9" s="13"/>
      <c r="CL9" s="14"/>
      <c r="CM9" s="13"/>
      <c r="CN9" s="13"/>
      <c r="CO9" s="14"/>
      <c r="CP9" s="17"/>
      <c r="CQ9" s="17"/>
      <c r="CR9" s="17"/>
      <c r="CS9" s="21"/>
      <c r="CT9" s="21"/>
      <c r="CU9" s="13"/>
      <c r="CV9" s="20"/>
      <c r="CW9" s="27"/>
      <c r="CX9" s="23"/>
      <c r="CY9" s="23"/>
      <c r="CZ9" s="23"/>
      <c r="DA9" s="21"/>
      <c r="DB9" s="21"/>
      <c r="DC9" s="13"/>
      <c r="DD9" s="20"/>
      <c r="DE9" s="27"/>
      <c r="DI9" s="21"/>
      <c r="DJ9" s="21"/>
      <c r="DK9" s="13"/>
      <c r="DL9" s="20"/>
      <c r="DM9" s="27"/>
      <c r="DN9" s="20"/>
      <c r="DO9" s="20"/>
      <c r="DP9" s="20"/>
      <c r="DQ9" s="13"/>
      <c r="DR9" s="14"/>
      <c r="DS9" s="13"/>
      <c r="DT9" s="13"/>
      <c r="DU9" s="13"/>
      <c r="DY9" s="13"/>
      <c r="DZ9" s="14"/>
      <c r="EA9" s="13"/>
      <c r="EB9" s="13"/>
      <c r="EC9" s="13"/>
      <c r="EG9" s="13"/>
      <c r="EH9" s="14"/>
      <c r="EI9" s="13"/>
      <c r="EJ9" s="13"/>
      <c r="EK9" s="13"/>
      <c r="EO9" s="13"/>
      <c r="EP9" s="14"/>
      <c r="EQ9" s="13"/>
      <c r="ER9" s="13"/>
      <c r="ES9" s="13"/>
    </row>
    <row r="10" spans="1:149" x14ac:dyDescent="0.25">
      <c r="F10" s="21"/>
      <c r="G10" s="21"/>
      <c r="H10" s="21"/>
      <c r="N10" s="21"/>
      <c r="O10" s="21"/>
      <c r="P10" s="21"/>
      <c r="V10" s="17"/>
      <c r="W10" s="17"/>
      <c r="X10" s="17"/>
      <c r="AJ10" s="14"/>
      <c r="AK10" s="13"/>
      <c r="AT10" s="27"/>
      <c r="AU10" s="27"/>
      <c r="AV10" s="27"/>
      <c r="AX10"/>
      <c r="BB10" s="20"/>
      <c r="BC10" s="20"/>
      <c r="BD10" s="20"/>
      <c r="BR10" s="21"/>
      <c r="BS10" s="21"/>
      <c r="BT10" s="21"/>
      <c r="BZ10" s="21"/>
      <c r="CA10" s="21"/>
      <c r="CB10" s="21"/>
      <c r="CC10" s="21"/>
      <c r="CE10" s="25"/>
      <c r="CF10" s="27"/>
      <c r="CG10" s="23"/>
      <c r="CH10" s="22"/>
      <c r="CI10" s="22"/>
      <c r="CJ10" s="22"/>
      <c r="CK10" s="13"/>
      <c r="CL10" s="13"/>
      <c r="CM10" s="13"/>
      <c r="CN10" s="13"/>
      <c r="CO10" s="14"/>
      <c r="CP10" s="17"/>
      <c r="CQ10" s="17"/>
      <c r="CR10" s="17"/>
      <c r="CS10" s="21"/>
      <c r="CT10" s="21"/>
      <c r="CU10" s="13"/>
      <c r="CV10" s="20"/>
      <c r="CW10" s="27"/>
      <c r="CX10" s="23"/>
      <c r="CY10" s="23"/>
      <c r="CZ10" s="23"/>
      <c r="DA10" s="21"/>
      <c r="DB10" s="21"/>
      <c r="DC10" s="13"/>
      <c r="DD10" s="20"/>
      <c r="DE10" s="27"/>
      <c r="DI10" s="21"/>
      <c r="DJ10" s="21"/>
      <c r="DK10" s="13"/>
      <c r="DL10" s="20"/>
      <c r="DM10" s="27"/>
      <c r="DN10" s="23"/>
      <c r="DO10" s="23"/>
      <c r="DP10" s="23"/>
      <c r="DQ10" s="13"/>
      <c r="DR10" s="13"/>
      <c r="DS10" s="13"/>
      <c r="DT10" s="13"/>
      <c r="DU10" s="13"/>
      <c r="DY10" s="13"/>
      <c r="DZ10" s="13"/>
      <c r="EA10" s="13"/>
      <c r="EB10" s="13"/>
      <c r="EC10" s="13"/>
      <c r="EG10" s="13"/>
      <c r="EH10" s="13"/>
      <c r="EI10" s="13"/>
      <c r="EJ10" s="13"/>
      <c r="EK10" s="13"/>
      <c r="EO10" s="13"/>
      <c r="EP10" s="13"/>
      <c r="EQ10" s="13"/>
      <c r="ER10" s="13"/>
      <c r="ES10" s="13"/>
    </row>
    <row r="11" spans="1:149" x14ac:dyDescent="0.25">
      <c r="F11" s="21"/>
      <c r="G11" s="21"/>
      <c r="H11" s="21"/>
      <c r="N11" s="21"/>
      <c r="O11" s="21"/>
      <c r="P11" s="21"/>
      <c r="V11" s="17"/>
      <c r="W11" s="17"/>
      <c r="X11" s="17"/>
      <c r="AJ11" s="14"/>
      <c r="AK11" s="13"/>
      <c r="AT11" s="27"/>
      <c r="AU11" s="27"/>
      <c r="AV11" s="27"/>
      <c r="AX11"/>
      <c r="BB11" s="20"/>
      <c r="BC11" s="20"/>
      <c r="BD11" s="20"/>
      <c r="BR11" s="21"/>
      <c r="BS11" s="21"/>
      <c r="BT11" s="21"/>
      <c r="BZ11" s="21"/>
      <c r="CA11" s="21"/>
      <c r="CB11" s="21"/>
      <c r="CC11" s="21"/>
      <c r="CE11" s="25"/>
      <c r="CF11" s="27"/>
      <c r="CG11" s="23"/>
      <c r="CH11" s="22"/>
      <c r="CI11" s="22"/>
      <c r="CJ11" s="22"/>
      <c r="CK11" s="13"/>
      <c r="CL11" s="13"/>
      <c r="CM11" s="13"/>
      <c r="CN11" s="13"/>
      <c r="CO11" s="14"/>
      <c r="CP11" s="17"/>
      <c r="CQ11" s="17"/>
      <c r="CR11" s="17"/>
      <c r="CS11" s="21"/>
      <c r="CT11" s="21"/>
      <c r="CU11" s="13"/>
      <c r="CV11" s="20"/>
      <c r="CW11" s="27"/>
      <c r="CX11" s="23"/>
      <c r="CY11" s="23"/>
      <c r="CZ11" s="23"/>
      <c r="DA11" s="21"/>
      <c r="DB11" s="21"/>
      <c r="DC11" s="13"/>
      <c r="DD11" s="20"/>
      <c r="DE11" s="27"/>
      <c r="DI11" s="21"/>
      <c r="DJ11" s="21"/>
      <c r="DK11" s="13"/>
      <c r="DL11" s="20"/>
      <c r="DM11" s="27"/>
      <c r="DN11" s="23"/>
      <c r="DO11" s="23"/>
      <c r="DP11" s="23"/>
      <c r="DQ11" s="13"/>
      <c r="DR11" s="13"/>
      <c r="DS11" s="13"/>
      <c r="DT11" s="13"/>
      <c r="DU11" s="13"/>
      <c r="DY11" s="13"/>
      <c r="DZ11" s="13"/>
      <c r="EA11" s="13"/>
      <c r="EB11" s="13"/>
      <c r="EC11" s="13"/>
      <c r="EG11" s="13"/>
      <c r="EH11" s="13"/>
      <c r="EI11" s="13"/>
      <c r="EJ11" s="13"/>
      <c r="EK11" s="13"/>
      <c r="EO11" s="13"/>
      <c r="EP11" s="13"/>
      <c r="EQ11" s="13"/>
      <c r="ER11" s="13"/>
      <c r="ES11" s="13"/>
    </row>
    <row r="12" spans="1:149" x14ac:dyDescent="0.25">
      <c r="F12" s="21"/>
      <c r="G12" s="21"/>
      <c r="H12" s="21"/>
      <c r="N12" s="21"/>
      <c r="O12" s="21"/>
      <c r="P12" s="21"/>
      <c r="V12" s="17"/>
      <c r="W12" s="17"/>
      <c r="X12" s="17"/>
      <c r="AJ12" s="14"/>
      <c r="AK12" s="13"/>
      <c r="AT12" s="27"/>
      <c r="AU12" s="27"/>
      <c r="AV12" s="27"/>
      <c r="AX12"/>
      <c r="BB12" s="20"/>
      <c r="BC12" s="20"/>
      <c r="BD12" s="20"/>
      <c r="BZ12" s="21"/>
      <c r="CA12" s="21"/>
      <c r="CB12" s="21"/>
      <c r="CC12" s="21"/>
      <c r="CE12" s="25"/>
      <c r="CF12" s="27"/>
      <c r="CG12" s="23"/>
      <c r="CH12" s="22"/>
      <c r="CI12" s="22"/>
      <c r="CJ12" s="22"/>
      <c r="CK12" s="13"/>
      <c r="CL12" s="13"/>
      <c r="CM12" s="13"/>
      <c r="CN12" s="13"/>
      <c r="CO12" s="14"/>
      <c r="CP12" s="17"/>
      <c r="CQ12" s="17"/>
      <c r="CR12" s="17"/>
      <c r="CS12" s="21"/>
      <c r="CT12" s="21"/>
      <c r="CU12" s="13"/>
      <c r="CV12" s="20"/>
      <c r="CW12" s="27"/>
      <c r="CX12" s="23"/>
      <c r="CY12" s="23"/>
      <c r="CZ12" s="23"/>
      <c r="DA12" s="21"/>
      <c r="DB12" s="21"/>
      <c r="DC12" s="13"/>
      <c r="DD12" s="20"/>
      <c r="DE12" s="27"/>
      <c r="DI12" s="21"/>
      <c r="DJ12" s="21"/>
      <c r="DK12" s="13"/>
      <c r="DL12" s="20"/>
      <c r="DM12" s="27"/>
      <c r="DN12" s="23"/>
      <c r="DO12" s="23"/>
      <c r="DP12" s="23"/>
      <c r="DQ12" s="13"/>
      <c r="DR12" s="13"/>
      <c r="DS12" s="13"/>
      <c r="DT12" s="13"/>
      <c r="DU12" s="13"/>
      <c r="DY12" s="13"/>
      <c r="DZ12" s="13"/>
      <c r="EA12" s="13"/>
      <c r="EB12" s="13"/>
      <c r="EC12" s="13"/>
      <c r="EG12" s="13"/>
      <c r="EH12" s="13"/>
      <c r="EI12" s="13"/>
      <c r="EJ12" s="13"/>
      <c r="EK12" s="13"/>
      <c r="EO12" s="13"/>
      <c r="EP12" s="13"/>
      <c r="EQ12" s="13"/>
      <c r="ER12" s="13"/>
      <c r="ES12" s="13"/>
    </row>
    <row r="13" spans="1:149" x14ac:dyDescent="0.25">
      <c r="F13" s="21"/>
      <c r="G13" s="21"/>
      <c r="H13" s="21"/>
      <c r="N13" s="21"/>
      <c r="O13" s="21"/>
      <c r="P13" s="21"/>
      <c r="V13" s="17"/>
      <c r="W13" s="17"/>
      <c r="X13" s="17"/>
      <c r="AJ13" s="14"/>
      <c r="AK13" s="13"/>
      <c r="AT13" s="27"/>
      <c r="AU13" s="27"/>
      <c r="AV13" s="27"/>
      <c r="AX13"/>
      <c r="BB13" s="20"/>
      <c r="BC13" s="20"/>
      <c r="BD13" s="20"/>
      <c r="BZ13" s="21"/>
      <c r="CA13" s="21"/>
      <c r="CB13" s="21"/>
      <c r="CC13" s="21"/>
      <c r="CE13" s="25"/>
      <c r="CF13" s="27"/>
      <c r="CG13" s="23"/>
      <c r="CH13" s="22"/>
      <c r="CI13" s="22"/>
      <c r="CJ13" s="22"/>
      <c r="CK13" s="13"/>
      <c r="CL13" s="13"/>
      <c r="CM13" s="13"/>
      <c r="CN13" s="13"/>
      <c r="CO13" s="14"/>
      <c r="CP13" s="17"/>
      <c r="CQ13" s="17"/>
      <c r="CR13" s="17"/>
      <c r="CS13" s="21"/>
      <c r="CT13" s="21"/>
      <c r="CU13" s="13"/>
      <c r="CV13" s="20"/>
      <c r="CW13" s="27"/>
      <c r="CX13" s="23"/>
      <c r="CY13" s="23"/>
      <c r="CZ13" s="23"/>
      <c r="DA13" s="21"/>
      <c r="DB13" s="21"/>
      <c r="DC13" s="13"/>
      <c r="DD13" s="20"/>
      <c r="DE13" s="27"/>
      <c r="DI13" s="21"/>
      <c r="DJ13" s="21"/>
      <c r="DK13" s="13"/>
      <c r="DL13" s="20"/>
      <c r="DM13" s="27"/>
      <c r="DN13" s="23"/>
      <c r="DO13" s="23"/>
      <c r="DP13" s="23"/>
      <c r="DQ13" s="13"/>
      <c r="DR13" s="13"/>
      <c r="DS13" s="13"/>
      <c r="DT13" s="13"/>
      <c r="DU13" s="13"/>
      <c r="DY13" s="13"/>
      <c r="DZ13" s="13"/>
      <c r="EA13" s="13"/>
      <c r="EB13" s="13"/>
      <c r="EC13" s="13"/>
      <c r="EG13" s="13"/>
      <c r="EH13" s="13"/>
      <c r="EI13" s="13"/>
      <c r="EJ13" s="13"/>
      <c r="EK13" s="13"/>
      <c r="EO13" s="13"/>
      <c r="EP13" s="13"/>
      <c r="EQ13" s="13"/>
      <c r="ER13" s="13"/>
      <c r="ES13" s="13"/>
    </row>
    <row r="14" spans="1:149" x14ac:dyDescent="0.25">
      <c r="F14" s="21"/>
      <c r="G14" s="21"/>
      <c r="H14" s="21"/>
      <c r="N14" s="21"/>
      <c r="O14" s="21"/>
      <c r="P14" s="21"/>
      <c r="V14" s="17"/>
      <c r="W14" s="17"/>
      <c r="X14" s="17"/>
      <c r="AJ14" s="14"/>
      <c r="AK14" s="13"/>
      <c r="AT14" s="27"/>
      <c r="AU14" s="27"/>
      <c r="AV14" s="27"/>
      <c r="AX14"/>
      <c r="BB14" s="20"/>
      <c r="BC14" s="20"/>
      <c r="BD14" s="20"/>
      <c r="BE14" s="27"/>
      <c r="BF14" s="23"/>
      <c r="BG14" s="17"/>
      <c r="BH14" s="21"/>
      <c r="BI14" s="21"/>
      <c r="BZ14" s="21"/>
      <c r="CA14" s="21"/>
      <c r="CB14" s="21"/>
      <c r="CC14" s="21"/>
      <c r="CE14" s="25"/>
      <c r="CF14" s="27"/>
      <c r="CG14" s="23"/>
      <c r="CH14" s="22"/>
      <c r="CI14" s="22"/>
      <c r="CJ14" s="22"/>
      <c r="CK14" s="13"/>
      <c r="CL14" s="13"/>
      <c r="CM14" s="13"/>
      <c r="CN14" s="13"/>
      <c r="CO14" s="14"/>
      <c r="CP14" s="17"/>
      <c r="CQ14" s="17"/>
      <c r="CR14" s="17"/>
      <c r="CS14" s="21"/>
      <c r="CT14" s="21"/>
      <c r="CU14" s="13"/>
      <c r="CV14" s="20"/>
      <c r="CW14" s="27"/>
      <c r="CX14" s="23"/>
      <c r="CY14" s="23"/>
      <c r="CZ14" s="23"/>
      <c r="DA14" s="21"/>
      <c r="DB14" s="21"/>
      <c r="DC14" s="13"/>
      <c r="DD14" s="20"/>
      <c r="DE14" s="27"/>
      <c r="DI14" s="21"/>
      <c r="DJ14" s="21"/>
      <c r="DK14" s="13"/>
      <c r="DL14" s="20"/>
      <c r="DM14" s="27"/>
      <c r="DN14" s="23"/>
      <c r="DO14" s="23"/>
      <c r="DP14" s="23"/>
      <c r="DQ14" s="13"/>
      <c r="DR14" s="13"/>
      <c r="DS14" s="13"/>
      <c r="DT14" s="13"/>
      <c r="DU14" s="13"/>
      <c r="DY14" s="13"/>
      <c r="DZ14" s="13"/>
      <c r="EA14" s="13"/>
      <c r="EB14" s="13"/>
      <c r="EC14" s="13"/>
      <c r="EG14" s="13"/>
      <c r="EH14" s="13"/>
      <c r="EI14" s="13"/>
      <c r="EJ14" s="13"/>
      <c r="EK14" s="13"/>
      <c r="EO14" s="13"/>
      <c r="EP14" s="13"/>
      <c r="EQ14" s="13"/>
      <c r="ER14" s="13"/>
      <c r="ES14" s="13"/>
    </row>
    <row r="15" spans="1:149" x14ac:dyDescent="0.25">
      <c r="F15" s="21"/>
      <c r="G15" s="21"/>
      <c r="H15" s="21"/>
      <c r="N15" s="21"/>
      <c r="O15" s="21"/>
      <c r="P15" s="21"/>
      <c r="V15" s="17"/>
      <c r="W15" s="17"/>
      <c r="X15" s="17"/>
      <c r="AJ15" s="14"/>
      <c r="AK15" s="13"/>
      <c r="AT15" s="27"/>
      <c r="AU15" s="27"/>
      <c r="AV15" s="27"/>
      <c r="AX15"/>
      <c r="BB15" s="20"/>
      <c r="BC15" s="20"/>
      <c r="BD15" s="20"/>
      <c r="BE15" s="27"/>
      <c r="BF15" s="23"/>
      <c r="BG15" s="17"/>
      <c r="BH15" s="21"/>
      <c r="BI15" s="21"/>
      <c r="BZ15" s="21"/>
      <c r="CA15" s="21"/>
      <c r="CB15" s="21"/>
      <c r="CC15" s="21"/>
      <c r="CE15" s="25"/>
      <c r="CF15" s="27"/>
      <c r="CG15" s="23"/>
      <c r="CH15" s="22"/>
      <c r="CI15" s="22"/>
      <c r="CJ15" s="22"/>
      <c r="CK15" s="13"/>
      <c r="CL15" s="13"/>
      <c r="CM15" s="13"/>
      <c r="CN15" s="13"/>
      <c r="CO15" s="14"/>
      <c r="CP15" s="17"/>
      <c r="CQ15" s="17"/>
      <c r="CR15" s="17"/>
      <c r="CS15" s="21"/>
      <c r="CT15" s="21"/>
      <c r="CU15" s="13"/>
      <c r="CV15" s="20"/>
      <c r="CW15" s="27"/>
      <c r="CX15" s="23"/>
      <c r="CY15" s="23"/>
      <c r="CZ15" s="23"/>
      <c r="DA15" s="21"/>
      <c r="DB15" s="21"/>
      <c r="DC15" s="13"/>
      <c r="DD15" s="20"/>
      <c r="DE15" s="27"/>
      <c r="DI15" s="21"/>
      <c r="DJ15" s="21"/>
      <c r="DK15" s="13"/>
      <c r="DL15" s="20"/>
      <c r="DM15" s="27"/>
      <c r="DN15" s="23"/>
      <c r="DO15" s="23"/>
      <c r="DP15" s="23"/>
      <c r="DQ15" s="13"/>
      <c r="DR15" s="13"/>
      <c r="DS15" s="13"/>
      <c r="DT15" s="13"/>
      <c r="DU15" s="13"/>
      <c r="DY15" s="13"/>
      <c r="DZ15" s="13"/>
      <c r="EA15" s="13"/>
      <c r="EB15" s="13"/>
      <c r="EC15" s="13"/>
      <c r="EG15" s="13"/>
      <c r="EH15" s="13"/>
      <c r="EI15" s="13"/>
      <c r="EJ15" s="13"/>
      <c r="EK15" s="13"/>
      <c r="EO15" s="13"/>
      <c r="EP15" s="13"/>
      <c r="EQ15" s="13"/>
      <c r="ER15" s="13"/>
      <c r="ES15" s="13"/>
    </row>
    <row r="16" spans="1:149" x14ac:dyDescent="0.25">
      <c r="F16" s="21"/>
      <c r="G16" s="21"/>
      <c r="H16" s="21"/>
      <c r="N16" s="21"/>
      <c r="O16" s="21"/>
      <c r="P16" s="21"/>
      <c r="V16" s="17"/>
      <c r="W16" s="17"/>
      <c r="X16" s="17"/>
      <c r="AJ16" s="14"/>
      <c r="AK16" s="13"/>
      <c r="AT16" s="27"/>
      <c r="AU16" s="27"/>
      <c r="AV16" s="27"/>
      <c r="AX16"/>
      <c r="BB16" s="20"/>
      <c r="BC16" s="20"/>
      <c r="BD16" s="20"/>
      <c r="BE16" s="27"/>
      <c r="BF16" s="23"/>
      <c r="BG16" s="17"/>
      <c r="BH16" s="21"/>
      <c r="BI16" s="21"/>
      <c r="BZ16" s="21"/>
      <c r="CA16" s="21"/>
      <c r="CB16" s="21"/>
      <c r="CC16" s="21"/>
      <c r="CE16" s="25"/>
      <c r="CF16" s="27"/>
      <c r="CG16" s="23"/>
      <c r="CH16" s="22"/>
      <c r="CI16" s="22"/>
      <c r="CJ16" s="22"/>
      <c r="CK16" s="13"/>
      <c r="CL16" s="13"/>
      <c r="CM16" s="13"/>
      <c r="CN16" s="13"/>
      <c r="CO16" s="14"/>
      <c r="CP16" s="17"/>
      <c r="CQ16" s="17"/>
      <c r="CR16" s="17"/>
      <c r="CS16" s="21"/>
      <c r="CT16" s="21"/>
      <c r="CU16" s="13"/>
      <c r="CV16" s="20"/>
      <c r="CW16" s="27"/>
      <c r="CX16" s="23"/>
      <c r="CY16" s="23"/>
      <c r="CZ16" s="23"/>
      <c r="DA16" s="21"/>
      <c r="DB16" s="21"/>
      <c r="DC16" s="13"/>
      <c r="DD16" s="20"/>
      <c r="DE16" s="27"/>
      <c r="DI16" s="21"/>
      <c r="DJ16" s="21"/>
      <c r="DK16" s="13"/>
      <c r="DL16" s="20"/>
      <c r="DM16" s="27"/>
      <c r="DN16" s="23"/>
      <c r="DO16" s="23"/>
      <c r="DP16" s="23"/>
      <c r="DQ16" s="13"/>
      <c r="DR16" s="13"/>
      <c r="DS16" s="13"/>
      <c r="DT16" s="13"/>
      <c r="DU16" s="13"/>
      <c r="DY16" s="13"/>
      <c r="DZ16" s="13"/>
      <c r="EA16" s="13"/>
      <c r="EB16" s="13"/>
      <c r="EC16" s="13"/>
      <c r="EG16" s="13"/>
      <c r="EH16" s="13"/>
      <c r="EI16" s="13"/>
      <c r="EJ16" s="13"/>
      <c r="EK16" s="13"/>
      <c r="EO16" s="13"/>
      <c r="EP16" s="13"/>
      <c r="EQ16" s="13"/>
      <c r="ER16" s="13"/>
      <c r="ES16" s="13"/>
    </row>
    <row r="17" spans="1:151" x14ac:dyDescent="0.25">
      <c r="F17" s="21"/>
      <c r="G17" s="21"/>
      <c r="H17" s="21"/>
      <c r="N17" s="21"/>
      <c r="O17" s="21"/>
      <c r="P17" s="21"/>
      <c r="V17" s="17"/>
      <c r="W17" s="17"/>
      <c r="X17" s="17"/>
      <c r="AJ17" s="14"/>
      <c r="AK17" s="13"/>
      <c r="AT17" s="27"/>
      <c r="AU17" s="27"/>
      <c r="AV17" s="27"/>
      <c r="AX17"/>
      <c r="BB17" s="20"/>
      <c r="BC17" s="20"/>
      <c r="BD17" s="20"/>
      <c r="BE17" s="27"/>
      <c r="BF17" s="23"/>
      <c r="BG17" s="17"/>
      <c r="BH17" s="21"/>
      <c r="BI17" s="21"/>
      <c r="BZ17" s="21"/>
      <c r="CA17" s="21"/>
      <c r="CB17" s="21"/>
      <c r="CC17" s="21"/>
      <c r="CE17" s="25"/>
      <c r="CF17" s="27"/>
      <c r="CG17" s="23"/>
      <c r="CH17" s="22"/>
      <c r="CI17" s="22"/>
      <c r="CJ17" s="22"/>
      <c r="CK17" s="13"/>
      <c r="CL17" s="13"/>
      <c r="CM17" s="13"/>
      <c r="CN17" s="13"/>
      <c r="CO17" s="14"/>
      <c r="CP17" s="17"/>
      <c r="CQ17" s="17"/>
      <c r="CR17" s="17"/>
      <c r="CS17" s="21"/>
      <c r="CT17" s="21"/>
      <c r="CU17" s="13"/>
      <c r="CV17" s="20"/>
      <c r="CW17" s="27"/>
      <c r="CX17" s="23"/>
      <c r="CY17" s="23"/>
      <c r="CZ17" s="23"/>
      <c r="DA17" s="21"/>
      <c r="DB17" s="21"/>
      <c r="DC17" s="13"/>
      <c r="DD17" s="20"/>
      <c r="DE17" s="27"/>
      <c r="DI17" s="21"/>
      <c r="DJ17" s="21"/>
      <c r="DK17" s="13"/>
      <c r="DL17" s="20"/>
      <c r="DM17" s="27"/>
      <c r="DN17" s="23"/>
      <c r="DO17" s="23"/>
      <c r="DP17" s="23"/>
      <c r="DQ17" s="13"/>
      <c r="DR17" s="13"/>
      <c r="DS17" s="13"/>
      <c r="DT17" s="13"/>
      <c r="DU17" s="13"/>
      <c r="DY17" s="13"/>
      <c r="DZ17" s="13"/>
      <c r="EA17" s="13"/>
      <c r="EB17" s="13"/>
      <c r="EC17" s="13"/>
      <c r="EG17" s="13"/>
      <c r="EH17" s="13"/>
      <c r="EI17" s="13"/>
      <c r="EJ17" s="13"/>
      <c r="EK17" s="13"/>
      <c r="EO17" s="13"/>
      <c r="EP17" s="13"/>
      <c r="EQ17" s="13"/>
      <c r="ER17" s="13"/>
      <c r="ES17" s="13"/>
    </row>
    <row r="18" spans="1:151" x14ac:dyDescent="0.25">
      <c r="A18" s="32" t="s">
        <v>7</v>
      </c>
      <c r="B18" s="13" t="s" vm="1">
        <v>59</v>
      </c>
      <c r="F18" s="21"/>
      <c r="G18" s="21"/>
      <c r="H18" s="21"/>
      <c r="I18" s="32" t="s">
        <v>7</v>
      </c>
      <c r="J18" s="13" t="s" vm="1">
        <v>59</v>
      </c>
      <c r="N18" s="21"/>
      <c r="O18" s="21"/>
      <c r="P18" s="21"/>
      <c r="Q18" s="32" t="s">
        <v>7</v>
      </c>
      <c r="R18" s="13" t="s" vm="1">
        <v>59</v>
      </c>
      <c r="V18" s="17"/>
      <c r="W18" s="17"/>
      <c r="X18" s="17"/>
      <c r="Y18" s="32" t="s">
        <v>7</v>
      </c>
      <c r="Z18" s="13" t="s" vm="1">
        <v>59</v>
      </c>
      <c r="AG18" s="32" t="s">
        <v>7</v>
      </c>
      <c r="AH18" s="13" t="s" vm="1">
        <v>59</v>
      </c>
      <c r="AJ18" s="14"/>
      <c r="AK18" s="13"/>
      <c r="AO18" s="32" t="s">
        <v>7</v>
      </c>
      <c r="AP18" s="13" t="s" vm="1">
        <v>59</v>
      </c>
      <c r="AT18" s="27"/>
      <c r="AU18" s="27"/>
      <c r="AV18" s="27"/>
      <c r="AW18" s="32" t="s">
        <v>7</v>
      </c>
      <c r="AX18" s="13" t="s" vm="1">
        <v>59</v>
      </c>
      <c r="BB18" s="20"/>
      <c r="BC18" s="20"/>
      <c r="BD18" s="20"/>
      <c r="BE18" s="32" t="s">
        <v>7</v>
      </c>
      <c r="BF18" s="13" t="s" vm="1">
        <v>59</v>
      </c>
      <c r="BG18" s="17"/>
      <c r="BH18" s="21"/>
      <c r="BI18" s="21"/>
      <c r="BM18" s="32" t="s">
        <v>7</v>
      </c>
      <c r="BN18" s="13" t="s" vm="1">
        <v>59</v>
      </c>
      <c r="BU18" s="32" t="s">
        <v>7</v>
      </c>
      <c r="BV18" s="13" t="s" vm="1">
        <v>59</v>
      </c>
      <c r="CC18" s="32" t="s">
        <v>7</v>
      </c>
      <c r="CD18" s="13" t="s" vm="1">
        <v>59</v>
      </c>
      <c r="CE18" s="21"/>
      <c r="CG18" s="23"/>
      <c r="CK18" s="32" t="s">
        <v>7</v>
      </c>
      <c r="CL18" s="13" t="s" vm="1">
        <v>59</v>
      </c>
      <c r="CM18" s="13"/>
      <c r="CN18" s="13"/>
      <c r="CP18" s="17"/>
      <c r="CQ18" s="17"/>
      <c r="CR18" s="17"/>
      <c r="CS18" s="32" t="s">
        <v>7</v>
      </c>
      <c r="CT18" s="13" t="s" vm="1">
        <v>59</v>
      </c>
      <c r="CU18" s="27"/>
      <c r="CV18" s="13"/>
      <c r="CW18" s="27"/>
      <c r="CX18" s="23"/>
      <c r="CY18" s="23"/>
      <c r="CZ18" s="23"/>
      <c r="DA18" s="32" t="s">
        <v>7</v>
      </c>
      <c r="DB18" s="13" t="s" vm="1">
        <v>59</v>
      </c>
      <c r="DC18" s="27"/>
      <c r="DD18" s="13"/>
      <c r="DE18" s="27"/>
      <c r="DI18" s="32" t="s">
        <v>7</v>
      </c>
      <c r="DJ18" s="13" t="s" vm="1">
        <v>59</v>
      </c>
      <c r="DK18" s="27"/>
      <c r="DL18" s="13"/>
      <c r="DM18" s="27"/>
      <c r="DN18" s="23"/>
      <c r="DO18" s="23"/>
      <c r="DP18" s="23"/>
      <c r="DQ18" s="32" t="s">
        <v>7</v>
      </c>
      <c r="DR18" s="13" t="s" vm="1">
        <v>59</v>
      </c>
      <c r="DS18" s="13"/>
      <c r="DT18" s="13"/>
      <c r="DU18" s="13"/>
      <c r="DY18" s="32" t="s">
        <v>7</v>
      </c>
      <c r="DZ18" s="13" t="s" vm="1">
        <v>59</v>
      </c>
      <c r="EA18" s="13"/>
      <c r="EB18" s="13"/>
      <c r="EC18" s="13"/>
      <c r="EG18" s="32" t="s">
        <v>7</v>
      </c>
      <c r="EH18" s="13" t="s" vm="1">
        <v>59</v>
      </c>
      <c r="EI18" s="13"/>
      <c r="EJ18" s="13"/>
      <c r="EK18" s="13"/>
      <c r="EO18" s="32" t="s">
        <v>7</v>
      </c>
      <c r="EP18" s="13" t="s" vm="1">
        <v>59</v>
      </c>
      <c r="EQ18" s="13"/>
      <c r="ER18" s="13"/>
      <c r="ES18" s="13"/>
    </row>
    <row r="19" spans="1:151" x14ac:dyDescent="0.25">
      <c r="F19" s="21"/>
      <c r="G19" s="21"/>
      <c r="H19" s="21"/>
      <c r="N19" s="21"/>
      <c r="O19" s="21"/>
      <c r="P19" s="21"/>
      <c r="V19" s="17"/>
      <c r="W19" s="17"/>
      <c r="X19" s="17"/>
      <c r="AJ19" s="14"/>
      <c r="AK19" s="13"/>
      <c r="AT19" s="27"/>
      <c r="AU19" s="27"/>
      <c r="AV19" s="27"/>
      <c r="AX19"/>
      <c r="BB19" s="20"/>
      <c r="BC19" s="20"/>
      <c r="BD19" s="20"/>
      <c r="BE19" s="27"/>
      <c r="BF19" s="23"/>
      <c r="BG19" s="17"/>
      <c r="BH19" s="21"/>
      <c r="BI19" s="21"/>
      <c r="CC19" s="23"/>
      <c r="CD19" s="17"/>
      <c r="CE19" s="21"/>
      <c r="CG19" s="23"/>
      <c r="CK19" s="13"/>
      <c r="CL19" s="13"/>
      <c r="CM19" s="13"/>
      <c r="CN19" s="13"/>
      <c r="CP19" s="17"/>
      <c r="CQ19" s="17"/>
      <c r="CR19" s="17"/>
      <c r="CS19" s="13"/>
      <c r="CT19" s="20"/>
      <c r="CU19" s="27"/>
      <c r="CV19" s="13"/>
      <c r="CW19" s="27"/>
      <c r="CX19" s="23"/>
      <c r="CY19" s="23"/>
      <c r="CZ19" s="23"/>
      <c r="DA19" s="13"/>
      <c r="DB19" s="20"/>
      <c r="DC19" s="27"/>
      <c r="DD19" s="13"/>
      <c r="DE19" s="27"/>
      <c r="DI19" s="13"/>
      <c r="DJ19" s="20"/>
      <c r="DK19" s="27"/>
      <c r="DL19" s="13"/>
      <c r="DM19" s="27"/>
      <c r="DN19" s="23"/>
      <c r="DO19" s="23"/>
      <c r="DP19" s="23"/>
      <c r="DQ19" s="13"/>
      <c r="DR19" s="13"/>
      <c r="DS19" s="13"/>
      <c r="DT19" s="13"/>
      <c r="DU19" s="13"/>
      <c r="DY19" s="13"/>
      <c r="DZ19" s="13"/>
      <c r="EA19" s="13"/>
      <c r="EB19" s="13"/>
      <c r="EC19" s="13"/>
      <c r="EG19" s="13"/>
      <c r="EH19" s="13"/>
      <c r="EI19" s="13"/>
      <c r="EJ19" s="13"/>
      <c r="EK19" s="13"/>
      <c r="EO19" s="13"/>
      <c r="EP19" s="13"/>
      <c r="EQ19" s="13"/>
      <c r="ER19" s="13"/>
      <c r="ES19" s="13"/>
    </row>
    <row r="20" spans="1:151" x14ac:dyDescent="0.25">
      <c r="A20" s="32" t="s">
        <v>10</v>
      </c>
      <c r="B20" s="39" t="s">
        <v>30</v>
      </c>
      <c r="C20" s="39" t="s">
        <v>31</v>
      </c>
      <c r="D20" s="13" t="s">
        <v>34</v>
      </c>
      <c r="E20" s="13" t="s">
        <v>32</v>
      </c>
      <c r="F20" s="13" t="s">
        <v>154</v>
      </c>
      <c r="G20" s="13" t="s">
        <v>152</v>
      </c>
      <c r="H20" s="21"/>
      <c r="I20" s="32" t="s">
        <v>12</v>
      </c>
      <c r="J20" s="39" t="s">
        <v>30</v>
      </c>
      <c r="K20" s="39" t="s">
        <v>31</v>
      </c>
      <c r="L20" s="39" t="s">
        <v>34</v>
      </c>
      <c r="M20" s="13" t="s">
        <v>32</v>
      </c>
      <c r="N20" s="13" t="s">
        <v>154</v>
      </c>
      <c r="O20" s="13" t="s">
        <v>152</v>
      </c>
      <c r="P20" s="21"/>
      <c r="Q20" s="32" t="s">
        <v>14</v>
      </c>
      <c r="R20" s="39" t="s">
        <v>30</v>
      </c>
      <c r="S20" s="39" t="s">
        <v>31</v>
      </c>
      <c r="T20" s="39" t="s">
        <v>34</v>
      </c>
      <c r="U20" s="13" t="s">
        <v>32</v>
      </c>
      <c r="V20" s="13" t="s">
        <v>154</v>
      </c>
      <c r="W20" s="13" t="s">
        <v>152</v>
      </c>
      <c r="X20" s="13"/>
      <c r="Y20" s="32" t="s">
        <v>20</v>
      </c>
      <c r="Z20" s="39" t="s">
        <v>30</v>
      </c>
      <c r="AA20" s="39" t="s">
        <v>31</v>
      </c>
      <c r="AB20" s="39" t="s">
        <v>34</v>
      </c>
      <c r="AC20" s="13" t="s">
        <v>32</v>
      </c>
      <c r="AD20" s="13" t="s">
        <v>154</v>
      </c>
      <c r="AE20" s="13" t="s">
        <v>152</v>
      </c>
      <c r="AG20" s="32" t="s">
        <v>80</v>
      </c>
      <c r="AH20" s="39" t="s">
        <v>30</v>
      </c>
      <c r="AI20" s="39" t="s">
        <v>31</v>
      </c>
      <c r="AJ20" s="39" t="s">
        <v>34</v>
      </c>
      <c r="AK20" s="13" t="s">
        <v>32</v>
      </c>
      <c r="AL20" s="13" t="s">
        <v>154</v>
      </c>
      <c r="AM20" s="13" t="s">
        <v>152</v>
      </c>
      <c r="AO20" s="32" t="s">
        <v>22</v>
      </c>
      <c r="AP20" s="39" t="s">
        <v>30</v>
      </c>
      <c r="AQ20" s="39" t="s">
        <v>31</v>
      </c>
      <c r="AR20" s="39" t="s">
        <v>34</v>
      </c>
      <c r="AS20" s="13" t="s">
        <v>32</v>
      </c>
      <c r="AT20" s="13" t="s">
        <v>154</v>
      </c>
      <c r="AU20" s="13" t="s">
        <v>152</v>
      </c>
      <c r="AW20" s="32" t="s">
        <v>81</v>
      </c>
      <c r="AX20" s="39" t="s">
        <v>30</v>
      </c>
      <c r="AY20" s="39" t="s">
        <v>31</v>
      </c>
      <c r="AZ20" s="39" t="s">
        <v>34</v>
      </c>
      <c r="BA20" s="13" t="s">
        <v>32</v>
      </c>
      <c r="BB20" s="13" t="s">
        <v>154</v>
      </c>
      <c r="BC20" s="13" t="s">
        <v>152</v>
      </c>
      <c r="BD20" s="20"/>
      <c r="BE20" s="32" t="s">
        <v>82</v>
      </c>
      <c r="BF20" s="39" t="s">
        <v>30</v>
      </c>
      <c r="BG20" s="39" t="s">
        <v>31</v>
      </c>
      <c r="BH20" s="39" t="s">
        <v>34</v>
      </c>
      <c r="BI20" s="13" t="s">
        <v>32</v>
      </c>
      <c r="BJ20" s="13" t="s">
        <v>154</v>
      </c>
      <c r="BK20" s="13" t="s">
        <v>152</v>
      </c>
      <c r="BM20" s="32" t="s">
        <v>83</v>
      </c>
      <c r="BN20" s="39" t="s">
        <v>30</v>
      </c>
      <c r="BO20" s="39" t="s">
        <v>31</v>
      </c>
      <c r="BP20" s="39" t="s">
        <v>34</v>
      </c>
      <c r="BQ20" s="13" t="s">
        <v>32</v>
      </c>
      <c r="BR20" s="13" t="s">
        <v>154</v>
      </c>
      <c r="BS20" s="13" t="s">
        <v>152</v>
      </c>
      <c r="BU20" s="32" t="s">
        <v>78</v>
      </c>
      <c r="BV20" s="39" t="s">
        <v>30</v>
      </c>
      <c r="BW20" s="39" t="s">
        <v>31</v>
      </c>
      <c r="BX20" s="39" t="s">
        <v>34</v>
      </c>
      <c r="BY20" s="13" t="s">
        <v>32</v>
      </c>
      <c r="BZ20" s="13" t="s">
        <v>154</v>
      </c>
      <c r="CA20" s="13" t="s">
        <v>152</v>
      </c>
      <c r="CC20" s="32" t="s">
        <v>27</v>
      </c>
      <c r="CD20" s="13" t="s">
        <v>30</v>
      </c>
      <c r="CE20" s="13" t="s">
        <v>31</v>
      </c>
      <c r="CF20" s="13" t="s">
        <v>34</v>
      </c>
      <c r="CG20" s="13" t="s">
        <v>32</v>
      </c>
      <c r="CH20" s="13" t="s">
        <v>154</v>
      </c>
      <c r="CI20" s="13" t="s">
        <v>152</v>
      </c>
      <c r="CJ20" s="13"/>
      <c r="CK20" s="32" t="s">
        <v>79</v>
      </c>
      <c r="CL20" s="39" t="s">
        <v>30</v>
      </c>
      <c r="CM20" s="39" t="s">
        <v>31</v>
      </c>
      <c r="CN20" s="39" t="s">
        <v>34</v>
      </c>
      <c r="CO20" s="13" t="s">
        <v>32</v>
      </c>
      <c r="CP20" s="13" t="s">
        <v>154</v>
      </c>
      <c r="CQ20" s="13" t="s">
        <v>152</v>
      </c>
      <c r="CR20" s="17"/>
      <c r="CS20" s="32" t="s">
        <v>69</v>
      </c>
      <c r="CT20" s="13" t="s">
        <v>30</v>
      </c>
      <c r="CU20" s="13" t="s">
        <v>31</v>
      </c>
      <c r="CV20" s="13" t="s">
        <v>34</v>
      </c>
      <c r="CW20" s="13" t="s">
        <v>32</v>
      </c>
      <c r="CX20" s="13" t="s">
        <v>154</v>
      </c>
      <c r="CY20" s="13" t="s">
        <v>152</v>
      </c>
      <c r="DA20" s="32" t="s">
        <v>75</v>
      </c>
      <c r="DB20" s="13" t="s">
        <v>30</v>
      </c>
      <c r="DC20" s="13" t="s">
        <v>31</v>
      </c>
      <c r="DD20" s="13" t="s">
        <v>34</v>
      </c>
      <c r="DE20" s="13" t="s">
        <v>32</v>
      </c>
      <c r="DF20" s="13" t="s">
        <v>154</v>
      </c>
      <c r="DG20" s="13" t="s">
        <v>152</v>
      </c>
      <c r="DI20" s="32" t="s">
        <v>76</v>
      </c>
      <c r="DJ20" s="13" t="s">
        <v>30</v>
      </c>
      <c r="DK20" s="13" t="s">
        <v>31</v>
      </c>
      <c r="DL20" s="13" t="s">
        <v>34</v>
      </c>
      <c r="DM20" s="13" t="s">
        <v>32</v>
      </c>
      <c r="DN20" s="13" t="s">
        <v>151</v>
      </c>
      <c r="DO20" s="13" t="s">
        <v>152</v>
      </c>
      <c r="DP20" s="23"/>
      <c r="DQ20" s="32" t="s">
        <v>153</v>
      </c>
      <c r="DR20" s="39" t="s">
        <v>30</v>
      </c>
      <c r="DS20" s="39" t="s">
        <v>31</v>
      </c>
      <c r="DT20" s="39" t="s">
        <v>34</v>
      </c>
      <c r="DU20" s="13" t="s">
        <v>32</v>
      </c>
      <c r="DV20" s="13" t="s">
        <v>154</v>
      </c>
      <c r="DW20" s="13" t="s">
        <v>152</v>
      </c>
      <c r="DY20" s="32" t="s">
        <v>85</v>
      </c>
      <c r="DZ20" s="39" t="s">
        <v>30</v>
      </c>
      <c r="EA20" s="39" t="s">
        <v>31</v>
      </c>
      <c r="EB20" s="39" t="s">
        <v>34</v>
      </c>
      <c r="EC20" s="13" t="s">
        <v>32</v>
      </c>
      <c r="ED20" s="13" t="s">
        <v>154</v>
      </c>
      <c r="EE20" s="13" t="s">
        <v>152</v>
      </c>
      <c r="EG20" s="32" t="s">
        <v>86</v>
      </c>
      <c r="EH20" s="39" t="s">
        <v>30</v>
      </c>
      <c r="EI20" s="39" t="s">
        <v>31</v>
      </c>
      <c r="EJ20" s="39" t="s">
        <v>34</v>
      </c>
      <c r="EK20" s="13" t="s">
        <v>32</v>
      </c>
      <c r="EL20" s="13" t="s">
        <v>154</v>
      </c>
      <c r="EM20" s="13" t="s">
        <v>152</v>
      </c>
      <c r="EO20" s="32" t="s">
        <v>107</v>
      </c>
      <c r="EP20" s="39" t="s">
        <v>30</v>
      </c>
      <c r="EQ20" s="39" t="s">
        <v>31</v>
      </c>
      <c r="ER20" s="39" t="s">
        <v>34</v>
      </c>
      <c r="ES20" s="13" t="s">
        <v>32</v>
      </c>
      <c r="ET20" s="13" t="s">
        <v>154</v>
      </c>
      <c r="EU20" s="13" t="s">
        <v>152</v>
      </c>
    </row>
    <row r="21" spans="1:151" x14ac:dyDescent="0.25">
      <c r="A21" s="36" t="s">
        <v>60</v>
      </c>
      <c r="B21" s="37">
        <v>5937503203.89007</v>
      </c>
      <c r="C21" s="38">
        <v>0.23695319111059593</v>
      </c>
      <c r="D21" s="47">
        <v>42598</v>
      </c>
      <c r="E21" s="38">
        <v>0.15207814184630106</v>
      </c>
      <c r="F21" s="50">
        <v>8453893354</v>
      </c>
      <c r="G21" s="38">
        <v>0.19845057922831411</v>
      </c>
      <c r="H21" s="21"/>
      <c r="I21" s="36" t="s">
        <v>156</v>
      </c>
      <c r="J21" s="37">
        <v>9042449154.9199314</v>
      </c>
      <c r="K21" s="38">
        <v>0.36086501499650547</v>
      </c>
      <c r="L21" s="49">
        <v>71533</v>
      </c>
      <c r="M21" s="38">
        <v>0.25537832106416858</v>
      </c>
      <c r="N21" s="50">
        <v>11309841912</v>
      </c>
      <c r="O21" s="38">
        <v>0.2654924286873212</v>
      </c>
      <c r="P21" s="21"/>
      <c r="Q21" s="36" t="s">
        <v>60</v>
      </c>
      <c r="R21" s="37">
        <v>15233731703.940161</v>
      </c>
      <c r="S21" s="38">
        <v>0.60794600285964051</v>
      </c>
      <c r="T21" s="49">
        <v>217177</v>
      </c>
      <c r="U21" s="38">
        <v>0.77533862180745861</v>
      </c>
      <c r="V21" s="50">
        <v>29556223162</v>
      </c>
      <c r="W21" s="38">
        <v>0.69381637083521386</v>
      </c>
      <c r="X21" s="13"/>
      <c r="Y21" s="36" t="s">
        <v>314</v>
      </c>
      <c r="Z21" s="37">
        <v>25031094747.700176</v>
      </c>
      <c r="AA21" s="38">
        <v>0.99893803401626713</v>
      </c>
      <c r="AB21" s="49">
        <v>278012</v>
      </c>
      <c r="AC21" s="38">
        <v>0.99252425867350214</v>
      </c>
      <c r="AD21" s="50">
        <v>42344366139</v>
      </c>
      <c r="AE21" s="38">
        <v>0.99401111836409861</v>
      </c>
      <c r="AF21" s="38"/>
      <c r="AG21" s="36" t="s">
        <v>132</v>
      </c>
      <c r="AH21" s="37">
        <v>17268554242.400032</v>
      </c>
      <c r="AI21" s="38">
        <v>0.68915146537053817</v>
      </c>
      <c r="AJ21" s="49">
        <v>275134</v>
      </c>
      <c r="AK21" s="38">
        <v>0.98224957694587045</v>
      </c>
      <c r="AL21" s="50">
        <v>33248194121</v>
      </c>
      <c r="AM21" s="38">
        <v>0.780483394492544</v>
      </c>
      <c r="AN21" s="48"/>
      <c r="AO21" s="36" t="s">
        <v>38</v>
      </c>
      <c r="AP21" s="37">
        <v>4101111549.5199642</v>
      </c>
      <c r="AQ21" s="38">
        <v>0.16366668537081402</v>
      </c>
      <c r="AR21" s="49">
        <v>135954</v>
      </c>
      <c r="AS21" s="38">
        <v>0.48536625420376572</v>
      </c>
      <c r="AT21" s="50">
        <v>11518063328</v>
      </c>
      <c r="AU21" s="38">
        <v>0.27038031393529255</v>
      </c>
      <c r="AW21" s="36"/>
      <c r="AX21" s="37">
        <v>18755806853.870102</v>
      </c>
      <c r="AY21" s="38">
        <v>0.7485045705687825</v>
      </c>
      <c r="AZ21" s="49">
        <v>262254</v>
      </c>
      <c r="BA21" s="38">
        <v>0.93626698464152858</v>
      </c>
      <c r="BB21" s="50">
        <v>34286716601</v>
      </c>
      <c r="BC21" s="38">
        <v>0.8048621486437435</v>
      </c>
      <c r="BD21" s="20"/>
      <c r="BE21" s="36"/>
      <c r="BF21" s="37">
        <v>25057705178.23019</v>
      </c>
      <c r="BG21" s="38">
        <v>1.0000000000000131</v>
      </c>
      <c r="BH21" s="49">
        <v>280106</v>
      </c>
      <c r="BI21" s="38">
        <v>1</v>
      </c>
      <c r="BJ21" s="50">
        <v>42599489439</v>
      </c>
      <c r="BK21" s="38">
        <v>1</v>
      </c>
      <c r="BL21" s="45"/>
      <c r="BM21" s="36"/>
      <c r="BN21" s="37">
        <v>20932305178.230145</v>
      </c>
      <c r="BO21" s="38">
        <v>0.83536401395671833</v>
      </c>
      <c r="BP21" s="49">
        <v>279963</v>
      </c>
      <c r="BQ21" s="38">
        <v>0.99948947898295648</v>
      </c>
      <c r="BR21" s="50">
        <v>38398489439</v>
      </c>
      <c r="BS21" s="38">
        <v>0.90138379461060003</v>
      </c>
      <c r="BU21" s="36"/>
      <c r="BV21" s="37">
        <v>25057705178.23019</v>
      </c>
      <c r="BW21" s="38">
        <v>1.0000000000000131</v>
      </c>
      <c r="BX21" s="49">
        <v>280106</v>
      </c>
      <c r="BY21" s="38">
        <v>1</v>
      </c>
      <c r="BZ21" s="50">
        <v>42599489439</v>
      </c>
      <c r="CA21" s="38">
        <v>1</v>
      </c>
      <c r="CC21" s="36"/>
      <c r="CD21" s="48">
        <v>5000177.38</v>
      </c>
      <c r="CE21" s="38">
        <v>1.9954650054483661E-4</v>
      </c>
      <c r="CF21" s="47">
        <v>8</v>
      </c>
      <c r="CG21" s="38">
        <v>2.8560616338100576E-5</v>
      </c>
      <c r="CH21" s="50">
        <v>5220000</v>
      </c>
      <c r="CI21" s="38">
        <v>1.2253667986971388E-4</v>
      </c>
      <c r="CJ21" s="13"/>
      <c r="CK21" s="36"/>
      <c r="CL21" s="37">
        <v>25057705178.23019</v>
      </c>
      <c r="CM21" s="38">
        <v>1.0000000000000131</v>
      </c>
      <c r="CN21" s="49">
        <v>280106</v>
      </c>
      <c r="CO21" s="38">
        <v>1</v>
      </c>
      <c r="CP21" s="50">
        <v>42599489439</v>
      </c>
      <c r="CQ21" s="38">
        <v>1</v>
      </c>
      <c r="CR21" s="17"/>
      <c r="CS21" s="36" t="s">
        <v>128</v>
      </c>
      <c r="CT21" s="48">
        <v>12631121627.720243</v>
      </c>
      <c r="CU21" s="38">
        <v>0.50408134096390289</v>
      </c>
      <c r="CV21" s="47">
        <v>68040</v>
      </c>
      <c r="CW21" s="38">
        <v>0.24290804195554541</v>
      </c>
      <c r="CX21" s="50">
        <v>16731510030</v>
      </c>
      <c r="CY21" s="38">
        <v>0.39276315867490741</v>
      </c>
      <c r="DA21" s="36" t="s">
        <v>74</v>
      </c>
      <c r="DB21" s="48">
        <v>3216942500.150001</v>
      </c>
      <c r="DC21" s="38">
        <v>0.1283813692143238</v>
      </c>
      <c r="DD21" s="47">
        <v>130</v>
      </c>
      <c r="DE21" s="38">
        <v>4.6411001549413435E-4</v>
      </c>
      <c r="DF21" s="50">
        <v>3280255200</v>
      </c>
      <c r="DG21" s="38">
        <v>7.7002218646238366E-2</v>
      </c>
      <c r="DI21" s="36" t="s">
        <v>77</v>
      </c>
      <c r="DJ21" s="48">
        <v>25057705178.231136</v>
      </c>
      <c r="DK21" s="38">
        <v>1.0000000000000506</v>
      </c>
      <c r="DL21" s="47">
        <v>280106</v>
      </c>
      <c r="DM21" s="38">
        <v>1</v>
      </c>
      <c r="DN21" s="50">
        <v>42599489439</v>
      </c>
      <c r="DO21" s="38">
        <v>1</v>
      </c>
      <c r="DP21" s="23"/>
      <c r="DQ21" s="36"/>
      <c r="DR21" s="37">
        <v>6301898324.3600035</v>
      </c>
      <c r="DS21" s="38">
        <v>0.25149542943122716</v>
      </c>
      <c r="DT21" s="49">
        <v>17852</v>
      </c>
      <c r="DU21" s="38">
        <v>6.3733015358471437E-2</v>
      </c>
      <c r="DV21" s="50">
        <v>8312772838</v>
      </c>
      <c r="DW21" s="38">
        <v>0.1951378513562565</v>
      </c>
      <c r="DY21" s="36" t="s">
        <v>117</v>
      </c>
      <c r="DZ21" s="37">
        <v>4125400000</v>
      </c>
      <c r="EA21" s="38">
        <v>0.16463598604329291</v>
      </c>
      <c r="EB21" s="49">
        <v>143</v>
      </c>
      <c r="EC21" s="38">
        <v>5.1052101704354778E-4</v>
      </c>
      <c r="ED21" s="50">
        <v>4201000000</v>
      </c>
      <c r="EE21" s="38">
        <v>9.8616205389399997E-2</v>
      </c>
      <c r="EG21" s="36"/>
      <c r="EH21" s="37">
        <v>10428063657.060003</v>
      </c>
      <c r="EI21" s="38">
        <v>0.41616195828339086</v>
      </c>
      <c r="EJ21" s="49">
        <v>18013</v>
      </c>
      <c r="EK21" s="38">
        <v>6.4307797762275715E-2</v>
      </c>
      <c r="EL21" s="50">
        <v>12515542838</v>
      </c>
      <c r="EM21" s="38">
        <v>0.2937956065394054</v>
      </c>
      <c r="EO21" s="36"/>
      <c r="EP21" s="37">
        <v>25057705178.23019</v>
      </c>
      <c r="EQ21" s="38">
        <v>1.0000000000000131</v>
      </c>
      <c r="ER21" s="49">
        <v>280106</v>
      </c>
      <c r="ES21" s="38">
        <v>1</v>
      </c>
      <c r="ET21" s="50">
        <v>42599489439</v>
      </c>
      <c r="EU21" s="38">
        <v>1</v>
      </c>
    </row>
    <row r="22" spans="1:151" x14ac:dyDescent="0.25">
      <c r="A22" s="36" t="s">
        <v>61</v>
      </c>
      <c r="B22" s="37">
        <v>12946491314.409971</v>
      </c>
      <c r="C22" s="38">
        <v>0.51666707794366917</v>
      </c>
      <c r="D22" s="47">
        <v>219826</v>
      </c>
      <c r="E22" s="38">
        <v>0.78479575589241213</v>
      </c>
      <c r="F22" s="50">
        <v>25990210147</v>
      </c>
      <c r="G22" s="38">
        <v>0.61010614186389422</v>
      </c>
      <c r="H22" s="21"/>
      <c r="I22" s="36" t="s">
        <v>157</v>
      </c>
      <c r="J22" s="37">
        <v>8270078923.6898785</v>
      </c>
      <c r="K22" s="38">
        <v>0.33004135314334071</v>
      </c>
      <c r="L22" s="49">
        <v>149683</v>
      </c>
      <c r="M22" s="38">
        <v>0.53437984191698862</v>
      </c>
      <c r="N22" s="50">
        <v>17262047979</v>
      </c>
      <c r="O22" s="38">
        <v>0.40521725040198553</v>
      </c>
      <c r="P22" s="21"/>
      <c r="Q22" s="36" t="s">
        <v>61</v>
      </c>
      <c r="R22" s="37">
        <v>3951891483.3500252</v>
      </c>
      <c r="S22" s="38">
        <v>0.1577116282293651</v>
      </c>
      <c r="T22" s="49">
        <v>46673</v>
      </c>
      <c r="U22" s="38">
        <v>0.16662620579352103</v>
      </c>
      <c r="V22" s="50">
        <v>5592411639</v>
      </c>
      <c r="W22" s="38">
        <v>0.13127884189804692</v>
      </c>
      <c r="X22" s="13"/>
      <c r="Y22" s="36" t="s">
        <v>65</v>
      </c>
      <c r="Z22" s="37">
        <v>15736211.49</v>
      </c>
      <c r="AA22" s="38">
        <v>6.2799890804332808E-4</v>
      </c>
      <c r="AB22" s="49">
        <v>1380</v>
      </c>
      <c r="AC22" s="38">
        <v>4.9267063183223497E-3</v>
      </c>
      <c r="AD22" s="50">
        <v>163587300</v>
      </c>
      <c r="AE22" s="38">
        <v>3.8401234886687439E-3</v>
      </c>
      <c r="AF22" s="38"/>
      <c r="AG22" s="36" t="s">
        <v>131</v>
      </c>
      <c r="AH22" s="37">
        <v>1613101222.6900001</v>
      </c>
      <c r="AI22" s="38">
        <v>6.437545701876414E-2</v>
      </c>
      <c r="AJ22" s="49">
        <v>3597</v>
      </c>
      <c r="AK22" s="38">
        <v>1.2841567121018471E-2</v>
      </c>
      <c r="AL22" s="50">
        <v>2427324280</v>
      </c>
      <c r="AM22" s="38">
        <v>5.6980126099299561E-2</v>
      </c>
      <c r="AN22" s="48"/>
      <c r="AO22" s="36" t="s">
        <v>39</v>
      </c>
      <c r="AP22" s="37">
        <v>6940314696.9898882</v>
      </c>
      <c r="AQ22" s="38">
        <v>0.27697327618889994</v>
      </c>
      <c r="AR22" s="49">
        <v>101451</v>
      </c>
      <c r="AS22" s="38">
        <v>0.36218788601458018</v>
      </c>
      <c r="AT22" s="50">
        <v>12707086783</v>
      </c>
      <c r="AU22" s="38">
        <v>0.29829199716573629</v>
      </c>
      <c r="AW22" s="36" t="s">
        <v>161</v>
      </c>
      <c r="AX22" s="37">
        <v>5465465763.4799948</v>
      </c>
      <c r="AY22" s="38">
        <v>0.21811517553604198</v>
      </c>
      <c r="AZ22" s="49">
        <v>15364</v>
      </c>
      <c r="BA22" s="38">
        <v>5.4850663677322158E-2</v>
      </c>
      <c r="BB22" s="50">
        <v>6945971600</v>
      </c>
      <c r="BC22" s="38">
        <v>0.16305293071519622</v>
      </c>
      <c r="BD22" s="20"/>
      <c r="BE22" s="36" t="s">
        <v>33</v>
      </c>
      <c r="BF22" s="37">
        <v>25057705178.229862</v>
      </c>
      <c r="BG22" s="38">
        <v>1</v>
      </c>
      <c r="BH22" s="49">
        <v>280106</v>
      </c>
      <c r="BI22" s="38">
        <v>1</v>
      </c>
      <c r="BJ22" s="50">
        <v>42599489439</v>
      </c>
      <c r="BK22" s="38">
        <v>1</v>
      </c>
      <c r="BL22" s="45"/>
      <c r="BM22" s="36" t="s">
        <v>163</v>
      </c>
      <c r="BN22" s="37">
        <v>3620000000</v>
      </c>
      <c r="BO22" s="38">
        <v>0.14446654129944256</v>
      </c>
      <c r="BP22" s="49">
        <v>126</v>
      </c>
      <c r="BQ22" s="38">
        <v>4.4982970732508409E-4</v>
      </c>
      <c r="BR22" s="50">
        <v>3672000000</v>
      </c>
      <c r="BS22" s="38">
        <v>8.6198216184212514E-2</v>
      </c>
      <c r="BU22" s="36" t="s">
        <v>33</v>
      </c>
      <c r="BV22" s="37">
        <v>25057705178.229862</v>
      </c>
      <c r="BW22" s="38">
        <v>1</v>
      </c>
      <c r="BX22" s="49">
        <v>280106</v>
      </c>
      <c r="BY22" s="38">
        <v>1</v>
      </c>
      <c r="BZ22" s="50">
        <v>42599489439</v>
      </c>
      <c r="CA22" s="38">
        <v>1</v>
      </c>
      <c r="CC22" s="36" t="s">
        <v>165</v>
      </c>
      <c r="CD22" s="48">
        <v>485006.26</v>
      </c>
      <c r="CE22" s="38">
        <v>1.9355573726734303E-5</v>
      </c>
      <c r="CF22" s="47">
        <v>2</v>
      </c>
      <c r="CG22" s="38">
        <v>7.1401540845251441E-6</v>
      </c>
      <c r="CH22" s="50">
        <v>580000</v>
      </c>
      <c r="CI22" s="38">
        <v>1.3615186652190431E-5</v>
      </c>
      <c r="CJ22" s="13"/>
      <c r="CK22" s="36" t="s">
        <v>33</v>
      </c>
      <c r="CL22" s="37">
        <v>25057705178.229862</v>
      </c>
      <c r="CM22" s="38">
        <v>1</v>
      </c>
      <c r="CN22" s="49">
        <v>280106</v>
      </c>
      <c r="CO22" s="38">
        <v>1</v>
      </c>
      <c r="CP22" s="50">
        <v>42599489439</v>
      </c>
      <c r="CQ22" s="38">
        <v>1</v>
      </c>
      <c r="CR22" s="17"/>
      <c r="CS22" s="36" t="s">
        <v>127</v>
      </c>
      <c r="CT22" s="48">
        <v>6495908514.4800863</v>
      </c>
      <c r="CU22" s="38">
        <v>0.25923796565871216</v>
      </c>
      <c r="CV22" s="47">
        <v>129912</v>
      </c>
      <c r="CW22" s="38">
        <v>0.46379584871441526</v>
      </c>
      <c r="CX22" s="50">
        <v>13217975271</v>
      </c>
      <c r="CY22" s="38">
        <v>0.31028482841155586</v>
      </c>
      <c r="DA22" s="36" t="s">
        <v>70</v>
      </c>
      <c r="DB22" s="48">
        <v>6909802001.2101088</v>
      </c>
      <c r="DC22" s="38">
        <v>0.27575557905491466</v>
      </c>
      <c r="DD22" s="47">
        <v>95201</v>
      </c>
      <c r="DE22" s="38">
        <v>0.33987490450043911</v>
      </c>
      <c r="DF22" s="50">
        <v>11454703807</v>
      </c>
      <c r="DG22" s="38">
        <v>0.2688929834101057</v>
      </c>
      <c r="DI22" s="36" t="s">
        <v>35</v>
      </c>
      <c r="DJ22" s="48">
        <v>25057705178.229862</v>
      </c>
      <c r="DK22" s="38">
        <v>1</v>
      </c>
      <c r="DL22" s="47">
        <v>280106</v>
      </c>
      <c r="DM22" s="38">
        <v>1</v>
      </c>
      <c r="DN22" s="50">
        <v>42599489439</v>
      </c>
      <c r="DO22" s="38">
        <v>1</v>
      </c>
      <c r="DP22" s="23"/>
      <c r="DQ22" s="36" t="s">
        <v>229</v>
      </c>
      <c r="DR22" s="37">
        <v>429931859.61000055</v>
      </c>
      <c r="DS22" s="38">
        <v>1.7157670926048144E-2</v>
      </c>
      <c r="DT22" s="49">
        <v>3655</v>
      </c>
      <c r="DU22" s="38">
        <v>1.30486315894697E-2</v>
      </c>
      <c r="DV22" s="50">
        <v>691378820</v>
      </c>
      <c r="DW22" s="38">
        <v>1.6229744278743397E-2</v>
      </c>
      <c r="DY22" s="36" t="s">
        <v>95</v>
      </c>
      <c r="DZ22" s="37">
        <v>9574993302.4599361</v>
      </c>
      <c r="EA22" s="38">
        <v>0.38211772524080506</v>
      </c>
      <c r="EB22" s="49">
        <v>189856</v>
      </c>
      <c r="EC22" s="38">
        <v>0.67780054693580283</v>
      </c>
      <c r="ED22" s="50">
        <v>21016892135</v>
      </c>
      <c r="EE22" s="38">
        <v>0.49336018839134144</v>
      </c>
      <c r="EG22" s="36" t="s">
        <v>233</v>
      </c>
      <c r="EH22" s="37">
        <v>135333.15000000002</v>
      </c>
      <c r="EI22" s="38">
        <v>5.4008596971432757E-6</v>
      </c>
      <c r="EJ22" s="49">
        <v>9</v>
      </c>
      <c r="EK22" s="38">
        <v>3.2130693380363148E-5</v>
      </c>
      <c r="EL22" s="50">
        <v>678000</v>
      </c>
      <c r="EM22" s="38">
        <v>1.591568370721571E-5</v>
      </c>
      <c r="EO22" s="36" t="s">
        <v>33</v>
      </c>
      <c r="EP22" s="37">
        <v>25057705178.229862</v>
      </c>
      <c r="EQ22" s="38">
        <v>1</v>
      </c>
      <c r="ER22" s="49">
        <v>280106</v>
      </c>
      <c r="ES22" s="38">
        <v>1</v>
      </c>
      <c r="ET22" s="50">
        <v>42599489439</v>
      </c>
      <c r="EU22" s="38">
        <v>1</v>
      </c>
    </row>
    <row r="23" spans="1:151" x14ac:dyDescent="0.25">
      <c r="A23" s="36" t="s">
        <v>62</v>
      </c>
      <c r="B23" s="37">
        <v>63863101.549999997</v>
      </c>
      <c r="C23" s="38">
        <v>2.5486412700507096E-3</v>
      </c>
      <c r="D23" s="47">
        <v>404</v>
      </c>
      <c r="E23" s="38">
        <v>1.4423111250740791E-3</v>
      </c>
      <c r="F23" s="50">
        <v>162121100</v>
      </c>
      <c r="G23" s="38">
        <v>3.8057052357903967E-3</v>
      </c>
      <c r="H23" s="21"/>
      <c r="I23" s="36" t="s">
        <v>158</v>
      </c>
      <c r="J23" s="37">
        <v>7745177099.6200104</v>
      </c>
      <c r="K23" s="38">
        <v>0.30909363186015221</v>
      </c>
      <c r="L23" s="49">
        <v>58890</v>
      </c>
      <c r="M23" s="38">
        <v>0.21024183701884286</v>
      </c>
      <c r="N23" s="50">
        <v>14027599548</v>
      </c>
      <c r="O23" s="38">
        <v>0.32929032091069332</v>
      </c>
      <c r="P23" s="21"/>
      <c r="Q23" s="36" t="s">
        <v>62</v>
      </c>
      <c r="R23" s="37">
        <v>523616969.1200003</v>
      </c>
      <c r="S23" s="38">
        <v>2.0896445440459519E-2</v>
      </c>
      <c r="T23" s="49">
        <v>1650</v>
      </c>
      <c r="U23" s="38">
        <v>5.890627119733244E-3</v>
      </c>
      <c r="V23" s="50">
        <v>810544000</v>
      </c>
      <c r="W23" s="38">
        <v>1.9027082499677654E-2</v>
      </c>
      <c r="X23" s="13"/>
      <c r="Y23" s="36" t="s">
        <v>315</v>
      </c>
      <c r="Z23" s="37">
        <v>2289561.7499999991</v>
      </c>
      <c r="AA23" s="38">
        <v>9.1371565501104646E-5</v>
      </c>
      <c r="AB23" s="49">
        <v>357</v>
      </c>
      <c r="AC23" s="38">
        <v>1.2745175040877383E-3</v>
      </c>
      <c r="AD23" s="50">
        <v>44712000</v>
      </c>
      <c r="AE23" s="38">
        <v>1.0495900441254112E-3</v>
      </c>
      <c r="AF23" s="38"/>
      <c r="AG23" s="36" t="s">
        <v>129</v>
      </c>
      <c r="AH23" s="37">
        <v>1442166614.4000008</v>
      </c>
      <c r="AI23" s="38">
        <v>5.7553818441959934E-2</v>
      </c>
      <c r="AJ23" s="49">
        <v>1100</v>
      </c>
      <c r="AK23" s="38">
        <v>3.927084746488829E-3</v>
      </c>
      <c r="AL23" s="50">
        <v>1941605038</v>
      </c>
      <c r="AM23" s="38">
        <v>4.5578129305522921E-2</v>
      </c>
      <c r="AN23" s="48"/>
      <c r="AO23" s="36" t="s">
        <v>40</v>
      </c>
      <c r="AP23" s="37">
        <v>2721973014.4200096</v>
      </c>
      <c r="AQ23" s="38">
        <v>0.10862818422753494</v>
      </c>
      <c r="AR23" s="49">
        <v>22792</v>
      </c>
      <c r="AS23" s="38">
        <v>8.1369195947248535E-2</v>
      </c>
      <c r="AT23" s="50">
        <v>4633086945</v>
      </c>
      <c r="AU23" s="38">
        <v>0.1087592129862099</v>
      </c>
      <c r="AW23" s="36" t="s">
        <v>162</v>
      </c>
      <c r="AX23" s="37">
        <v>836432560.88000047</v>
      </c>
      <c r="AY23" s="38">
        <v>3.3380253895184835E-2</v>
      </c>
      <c r="AZ23" s="49">
        <v>2488</v>
      </c>
      <c r="BA23" s="38">
        <v>8.8823516811492795E-3</v>
      </c>
      <c r="BB23" s="50">
        <v>1366801238</v>
      </c>
      <c r="BC23" s="38">
        <v>3.208492064106027E-2</v>
      </c>
      <c r="BD23" s="20"/>
      <c r="BG23"/>
      <c r="BK23"/>
      <c r="BL23" s="45"/>
      <c r="BM23" s="36" t="s">
        <v>164</v>
      </c>
      <c r="BN23" s="37">
        <v>505400000</v>
      </c>
      <c r="BO23" s="38">
        <v>2.0169444743850351E-2</v>
      </c>
      <c r="BP23" s="49">
        <v>17</v>
      </c>
      <c r="BQ23" s="38">
        <v>6.0691309718463724E-5</v>
      </c>
      <c r="BR23" s="50">
        <v>529000000</v>
      </c>
      <c r="BS23" s="38">
        <v>1.2417989205187479E-2</v>
      </c>
      <c r="BY23"/>
      <c r="CA23"/>
      <c r="CC23" s="36" t="s">
        <v>166</v>
      </c>
      <c r="CD23" s="48">
        <v>352134.22</v>
      </c>
      <c r="CE23" s="38">
        <v>1.4052931722811322E-5</v>
      </c>
      <c r="CF23" s="47">
        <v>2</v>
      </c>
      <c r="CG23" s="38">
        <v>7.1401540845251441E-6</v>
      </c>
      <c r="CH23" s="50">
        <v>600000</v>
      </c>
      <c r="CI23" s="38">
        <v>1.4084675847093548E-5</v>
      </c>
      <c r="CJ23" s="13"/>
      <c r="CP23"/>
      <c r="CQ23"/>
      <c r="CR23" s="17"/>
      <c r="CS23" s="36" t="s">
        <v>66</v>
      </c>
      <c r="CT23" s="48">
        <v>3683025871.2200389</v>
      </c>
      <c r="CU23" s="38">
        <v>0.14698177047832187</v>
      </c>
      <c r="CV23" s="47">
        <v>57565</v>
      </c>
      <c r="CW23" s="38">
        <v>0.20551148493784496</v>
      </c>
      <c r="CX23" s="50">
        <v>7691144027</v>
      </c>
      <c r="CY23" s="38">
        <v>0.18054545085600784</v>
      </c>
      <c r="DA23" s="36" t="s">
        <v>71</v>
      </c>
      <c r="DB23" s="48">
        <v>8669495391.420126</v>
      </c>
      <c r="DC23" s="38">
        <v>0.34598121933975756</v>
      </c>
      <c r="DD23" s="47">
        <v>126414</v>
      </c>
      <c r="DE23" s="38">
        <v>0.45130771922058077</v>
      </c>
      <c r="DF23" s="50">
        <v>16711272636</v>
      </c>
      <c r="DG23" s="38">
        <v>0.39228809678410759</v>
      </c>
      <c r="DO23"/>
      <c r="DP23" s="23"/>
      <c r="DQ23" s="36" t="s">
        <v>230</v>
      </c>
      <c r="DR23" s="37">
        <v>132142815.12999998</v>
      </c>
      <c r="DS23" s="38">
        <v>5.2735401821554541E-3</v>
      </c>
      <c r="DT23" s="49">
        <v>60</v>
      </c>
      <c r="DU23" s="38">
        <v>2.1420462253575432E-4</v>
      </c>
      <c r="DV23" s="50">
        <v>136276000</v>
      </c>
      <c r="DW23" s="38">
        <v>3.1990054762308672E-3</v>
      </c>
      <c r="DY23" s="36" t="s">
        <v>87</v>
      </c>
      <c r="DZ23" s="37">
        <v>295255902.69000024</v>
      </c>
      <c r="EA23" s="38">
        <v>1.1783038414328484E-2</v>
      </c>
      <c r="EB23" s="49">
        <v>8328</v>
      </c>
      <c r="EC23" s="38">
        <v>2.9731601607962701E-2</v>
      </c>
      <c r="ED23" s="50">
        <v>1178752650</v>
      </c>
      <c r="EE23" s="38">
        <v>2.7670581631920859E-2</v>
      </c>
      <c r="EG23" s="36" t="s">
        <v>234</v>
      </c>
      <c r="EH23" s="37">
        <v>262499.97000000003</v>
      </c>
      <c r="EI23" s="38">
        <v>1.0475818441189899E-5</v>
      </c>
      <c r="EJ23" s="49">
        <v>3</v>
      </c>
      <c r="EK23" s="38">
        <v>1.0710231126787716E-5</v>
      </c>
      <c r="EL23" s="50">
        <v>300000</v>
      </c>
      <c r="EM23" s="38">
        <v>7.0423379235467741E-6</v>
      </c>
    </row>
    <row r="24" spans="1:151" x14ac:dyDescent="0.25">
      <c r="A24" s="36" t="s">
        <v>64</v>
      </c>
      <c r="B24" s="37">
        <v>1762773821.7599981</v>
      </c>
      <c r="C24" s="38">
        <v>7.0348573790847219E-2</v>
      </c>
      <c r="D24" s="47">
        <v>4594</v>
      </c>
      <c r="E24" s="38">
        <v>1.6400933932154256E-2</v>
      </c>
      <c r="F24" s="50">
        <v>2256452000</v>
      </c>
      <c r="G24" s="38">
        <v>5.2968991640876553E-2</v>
      </c>
      <c r="H24" s="21"/>
      <c r="I24" s="36" t="s">
        <v>33</v>
      </c>
      <c r="J24" s="37">
        <v>25057705178.229862</v>
      </c>
      <c r="K24" s="38">
        <v>1</v>
      </c>
      <c r="L24" s="49">
        <v>280106</v>
      </c>
      <c r="M24" s="38">
        <v>1</v>
      </c>
      <c r="N24" s="50">
        <v>42599489439</v>
      </c>
      <c r="O24" s="38">
        <v>1</v>
      </c>
      <c r="P24" s="21"/>
      <c r="Q24" s="36" t="s">
        <v>64</v>
      </c>
      <c r="R24" s="37">
        <v>1212403809.9399984</v>
      </c>
      <c r="S24" s="38">
        <v>4.8384471016656987E-2</v>
      </c>
      <c r="T24" s="49">
        <v>2880</v>
      </c>
      <c r="U24" s="38">
        <v>1.0281821881716207E-2</v>
      </c>
      <c r="V24" s="50">
        <v>1405908000</v>
      </c>
      <c r="W24" s="38">
        <v>3.3002930751392663E-2</v>
      </c>
      <c r="X24" s="13"/>
      <c r="Y24" s="36" t="s">
        <v>316</v>
      </c>
      <c r="Z24" s="37">
        <v>5800621.2600000007</v>
      </c>
      <c r="AA24" s="38">
        <v>2.3149052232602615E-4</v>
      </c>
      <c r="AB24" s="49">
        <v>279</v>
      </c>
      <c r="AC24" s="38">
        <v>9.9605149479125763E-4</v>
      </c>
      <c r="AD24" s="50">
        <v>37749000</v>
      </c>
      <c r="AE24" s="38">
        <v>8.8613738091989063E-4</v>
      </c>
      <c r="AF24" s="38"/>
      <c r="AG24" s="36" t="s">
        <v>159</v>
      </c>
      <c r="AH24" s="37">
        <v>280146093.36000001</v>
      </c>
      <c r="AI24" s="38">
        <v>1.1180037891234788E-2</v>
      </c>
      <c r="AJ24" s="49">
        <v>78</v>
      </c>
      <c r="AK24" s="38">
        <v>2.7846600929648063E-4</v>
      </c>
      <c r="AL24" s="50">
        <v>369852000</v>
      </c>
      <c r="AM24" s="38">
        <v>8.6820758856654048E-3</v>
      </c>
      <c r="AN24" s="48"/>
      <c r="AO24" s="36" t="s">
        <v>41</v>
      </c>
      <c r="AP24" s="37">
        <v>1282130447.9499986</v>
      </c>
      <c r="AQ24" s="38">
        <v>5.1167113621558361E-2</v>
      </c>
      <c r="AR24" s="49">
        <v>7435</v>
      </c>
      <c r="AS24" s="38">
        <v>2.6543522809222224E-2</v>
      </c>
      <c r="AT24" s="50">
        <v>1970158231</v>
      </c>
      <c r="AU24" s="38">
        <v>4.6248400085197088E-2</v>
      </c>
      <c r="AW24" s="36" t="s">
        <v>33</v>
      </c>
      <c r="AX24" s="37">
        <v>25057705178.229862</v>
      </c>
      <c r="AY24" s="38">
        <v>1</v>
      </c>
      <c r="AZ24" s="49">
        <v>280106</v>
      </c>
      <c r="BA24" s="38">
        <v>1</v>
      </c>
      <c r="BB24" s="50">
        <v>42599489439</v>
      </c>
      <c r="BC24" s="38">
        <v>1</v>
      </c>
      <c r="BD24" s="20"/>
      <c r="BG24"/>
      <c r="BK24"/>
      <c r="BL24" s="45"/>
      <c r="BM24" s="36" t="s">
        <v>33</v>
      </c>
      <c r="BN24" s="37">
        <v>25057705178.229862</v>
      </c>
      <c r="BO24" s="38">
        <v>1</v>
      </c>
      <c r="BP24" s="49">
        <v>280106</v>
      </c>
      <c r="BQ24" s="38">
        <v>1</v>
      </c>
      <c r="BR24" s="50">
        <v>42599489439</v>
      </c>
      <c r="BS24" s="38">
        <v>1</v>
      </c>
      <c r="BY24"/>
      <c r="CA24"/>
      <c r="CC24" s="36" t="s">
        <v>167</v>
      </c>
      <c r="CD24" s="48">
        <v>388722.27999999997</v>
      </c>
      <c r="CE24" s="38">
        <v>1.5513083789401512E-5</v>
      </c>
      <c r="CF24" s="47">
        <v>8</v>
      </c>
      <c r="CG24" s="38">
        <v>2.8560616338100576E-5</v>
      </c>
      <c r="CH24" s="50">
        <v>1116000</v>
      </c>
      <c r="CI24" s="38">
        <v>2.6197497075594E-5</v>
      </c>
      <c r="CJ24" s="13"/>
      <c r="CP24" s="17"/>
      <c r="CQ24" s="17"/>
      <c r="CR24" s="17"/>
      <c r="CS24" s="36" t="s">
        <v>67</v>
      </c>
      <c r="CT24" s="48">
        <v>1017132610.6099977</v>
      </c>
      <c r="CU24" s="38">
        <v>4.0591610579474885E-2</v>
      </c>
      <c r="CV24" s="47">
        <v>12837</v>
      </c>
      <c r="CW24" s="38">
        <v>4.5829078991524635E-2</v>
      </c>
      <c r="CX24" s="50">
        <v>2221839424</v>
      </c>
      <c r="CY24" s="38">
        <v>5.2156480118888404E-2</v>
      </c>
      <c r="DA24" s="36" t="s">
        <v>72</v>
      </c>
      <c r="DB24" s="48">
        <v>4367169168.2300081</v>
      </c>
      <c r="DC24" s="38">
        <v>0.17428448204523556</v>
      </c>
      <c r="DD24" s="47">
        <v>43421</v>
      </c>
      <c r="DE24" s="38">
        <v>0.15501631525208315</v>
      </c>
      <c r="DF24" s="50">
        <v>8003445974</v>
      </c>
      <c r="DG24" s="38">
        <v>0.18787657033919317</v>
      </c>
      <c r="DO24"/>
      <c r="DP24" s="23"/>
      <c r="DQ24" s="36" t="s">
        <v>231</v>
      </c>
      <c r="DR24" s="37">
        <v>75363932.909999996</v>
      </c>
      <c r="DS24" s="38">
        <v>3.0076151177433515E-3</v>
      </c>
      <c r="DT24" s="49">
        <v>8</v>
      </c>
      <c r="DU24" s="38">
        <v>2.8560616338100576E-5</v>
      </c>
      <c r="DV24" s="50">
        <v>114730000</v>
      </c>
      <c r="DW24" s="38">
        <v>2.6932247665617378E-3</v>
      </c>
      <c r="DY24" s="36" t="s">
        <v>88</v>
      </c>
      <c r="DZ24" s="37">
        <v>674910858.51000118</v>
      </c>
      <c r="EA24" s="38">
        <v>2.6934264479109755E-2</v>
      </c>
      <c r="EB24" s="49">
        <v>12062</v>
      </c>
      <c r="EC24" s="38">
        <v>4.3062269283771146E-2</v>
      </c>
      <c r="ED24" s="50">
        <v>1577849013</v>
      </c>
      <c r="EE24" s="38">
        <v>3.7039153139602488E-2</v>
      </c>
      <c r="EG24" s="36" t="s">
        <v>235</v>
      </c>
      <c r="EH24" s="37">
        <v>195999.78</v>
      </c>
      <c r="EI24" s="38">
        <v>7.8219365502905131E-6</v>
      </c>
      <c r="EJ24" s="49">
        <v>3</v>
      </c>
      <c r="EK24" s="38">
        <v>1.0710231126787716E-5</v>
      </c>
      <c r="EL24" s="50">
        <v>504000</v>
      </c>
      <c r="EM24" s="38">
        <v>1.183112771155858E-5</v>
      </c>
    </row>
    <row r="25" spans="1:151" x14ac:dyDescent="0.25">
      <c r="A25" s="36" t="s">
        <v>63</v>
      </c>
      <c r="B25" s="37">
        <v>4347073736.6199846</v>
      </c>
      <c r="C25" s="38">
        <v>0.1734825158848434</v>
      </c>
      <c r="D25" s="47">
        <v>12684</v>
      </c>
      <c r="E25" s="38">
        <v>4.528285720405846E-2</v>
      </c>
      <c r="F25" s="50">
        <v>5736812838</v>
      </c>
      <c r="G25" s="38">
        <v>0.13466858203112467</v>
      </c>
      <c r="H25" s="21"/>
      <c r="L25"/>
      <c r="M25"/>
      <c r="N25" s="21"/>
      <c r="O25" s="21"/>
      <c r="P25" s="21"/>
      <c r="Q25" s="36" t="s">
        <v>63</v>
      </c>
      <c r="R25" s="37">
        <v>4136061211.8799911</v>
      </c>
      <c r="S25" s="38">
        <v>0.16506145245389037</v>
      </c>
      <c r="T25" s="49">
        <v>11726</v>
      </c>
      <c r="U25" s="38">
        <v>4.1862723397570918E-2</v>
      </c>
      <c r="V25" s="50">
        <v>5234402638</v>
      </c>
      <c r="W25" s="38">
        <v>0.12287477401566893</v>
      </c>
      <c r="X25" s="13"/>
      <c r="Y25" s="36" t="s">
        <v>317</v>
      </c>
      <c r="Z25" s="37">
        <v>59536.71</v>
      </c>
      <c r="AA25" s="38">
        <v>2.37598413647733E-6</v>
      </c>
      <c r="AB25" s="49">
        <v>9</v>
      </c>
      <c r="AC25" s="38">
        <v>3.2130693380363148E-5</v>
      </c>
      <c r="AD25" s="50">
        <v>810000</v>
      </c>
      <c r="AE25" s="38">
        <v>1.901431239357629E-5</v>
      </c>
      <c r="AF25" s="38"/>
      <c r="AG25" s="36" t="s">
        <v>130</v>
      </c>
      <c r="AH25" s="37">
        <v>185613336.01999995</v>
      </c>
      <c r="AI25" s="38">
        <v>7.407435545265368E-3</v>
      </c>
      <c r="AJ25" s="49">
        <v>34</v>
      </c>
      <c r="AK25" s="38">
        <v>1.2138261943692745E-4</v>
      </c>
      <c r="AL25" s="50">
        <v>231104000</v>
      </c>
      <c r="AM25" s="38">
        <v>5.4250415449445125E-3</v>
      </c>
      <c r="AN25" s="48"/>
      <c r="AO25" s="36" t="s">
        <v>42</v>
      </c>
      <c r="AP25" s="37">
        <v>753137661.83000064</v>
      </c>
      <c r="AQ25" s="38">
        <v>3.0056130698046794E-2</v>
      </c>
      <c r="AR25" s="49">
        <v>3376</v>
      </c>
      <c r="AS25" s="38">
        <v>1.2052580094678442E-2</v>
      </c>
      <c r="AT25" s="50">
        <v>1067762470</v>
      </c>
      <c r="AU25" s="38">
        <v>2.5065147119403251E-2</v>
      </c>
      <c r="AX25"/>
      <c r="BB25" s="20"/>
      <c r="BC25" s="20"/>
      <c r="BD25" s="20"/>
      <c r="BG25"/>
      <c r="BK25"/>
      <c r="BL25" s="45"/>
      <c r="BP25"/>
      <c r="BY25"/>
      <c r="CC25" s="36" t="s">
        <v>168</v>
      </c>
      <c r="CD25" s="48">
        <v>1682836157.0999815</v>
      </c>
      <c r="CE25" s="38">
        <v>6.7158430715436382E-2</v>
      </c>
      <c r="CF25" s="47">
        <v>29688</v>
      </c>
      <c r="CG25" s="38">
        <v>0.10598844723069124</v>
      </c>
      <c r="CH25" s="50">
        <v>3423552453</v>
      </c>
      <c r="CI25" s="38">
        <v>8.0366044243378287E-2</v>
      </c>
      <c r="CJ25" s="13"/>
      <c r="CP25" s="17"/>
      <c r="CQ25" s="17"/>
      <c r="CR25" s="17"/>
      <c r="CS25" s="36" t="s">
        <v>68</v>
      </c>
      <c r="CT25" s="48">
        <v>270742872.28999978</v>
      </c>
      <c r="CU25" s="38">
        <v>1.0804775232379269E-2</v>
      </c>
      <c r="CV25" s="47">
        <v>2739</v>
      </c>
      <c r="CW25" s="38">
        <v>9.7784410187571856E-3</v>
      </c>
      <c r="CX25" s="50">
        <v>571707178</v>
      </c>
      <c r="CY25" s="38">
        <v>1.3420517135977687E-2</v>
      </c>
      <c r="DA25" s="36" t="s">
        <v>73</v>
      </c>
      <c r="DB25" s="48">
        <v>1894296117.2199986</v>
      </c>
      <c r="DC25" s="38">
        <v>7.559735034578359E-2</v>
      </c>
      <c r="DD25" s="47">
        <v>14940</v>
      </c>
      <c r="DE25" s="38">
        <v>5.3336951011402824E-2</v>
      </c>
      <c r="DF25" s="50">
        <v>3149811822</v>
      </c>
      <c r="DG25" s="38">
        <v>7.3940130820355207E-2</v>
      </c>
      <c r="DN25" s="23"/>
      <c r="DO25" s="23"/>
      <c r="DP25" s="23"/>
      <c r="DQ25" s="36" t="s">
        <v>232</v>
      </c>
      <c r="DR25" s="37">
        <v>67653873.420000002</v>
      </c>
      <c r="DS25" s="38">
        <v>2.6999229553861018E-3</v>
      </c>
      <c r="DT25" s="49">
        <v>83</v>
      </c>
      <c r="DU25" s="38">
        <v>2.9631639450779349E-4</v>
      </c>
      <c r="DV25" s="50">
        <v>76569400</v>
      </c>
      <c r="DW25" s="38">
        <v>1.7974252980107414E-3</v>
      </c>
      <c r="DY25" s="36" t="s">
        <v>89</v>
      </c>
      <c r="DZ25" s="37">
        <v>1267033541.6400018</v>
      </c>
      <c r="EA25" s="38">
        <v>5.0564628030694551E-2</v>
      </c>
      <c r="EB25" s="49">
        <v>17706</v>
      </c>
      <c r="EC25" s="38">
        <v>6.3211784110301095E-2</v>
      </c>
      <c r="ED25" s="50">
        <v>2202373881</v>
      </c>
      <c r="EE25" s="38">
        <v>5.1699537013317302E-2</v>
      </c>
      <c r="EG25" s="36" t="s">
        <v>236</v>
      </c>
      <c r="EH25" s="37">
        <v>3406999.59</v>
      </c>
      <c r="EI25" s="38">
        <v>1.3596614557345824E-4</v>
      </c>
      <c r="EJ25" s="49">
        <v>81</v>
      </c>
      <c r="EK25" s="38">
        <v>2.8917624042326835E-4</v>
      </c>
      <c r="EL25" s="50">
        <v>6357000</v>
      </c>
      <c r="EM25" s="38">
        <v>1.4922714059995614E-4</v>
      </c>
    </row>
    <row r="26" spans="1:151" x14ac:dyDescent="0.25">
      <c r="A26" s="36" t="s">
        <v>33</v>
      </c>
      <c r="B26" s="37">
        <v>25057705178.229862</v>
      </c>
      <c r="C26" s="38">
        <v>1</v>
      </c>
      <c r="D26" s="47">
        <v>280106</v>
      </c>
      <c r="E26" s="38">
        <v>1</v>
      </c>
      <c r="F26" s="50">
        <v>42599489439</v>
      </c>
      <c r="G26" s="38">
        <v>1</v>
      </c>
      <c r="H26" s="21"/>
      <c r="L26"/>
      <c r="M26"/>
      <c r="N26" s="21"/>
      <c r="O26" s="21"/>
      <c r="P26" s="21"/>
      <c r="Q26" s="36" t="s">
        <v>33</v>
      </c>
      <c r="R26" s="37">
        <v>25057705178.229862</v>
      </c>
      <c r="S26" s="38">
        <v>1</v>
      </c>
      <c r="T26" s="49">
        <v>280106</v>
      </c>
      <c r="U26" s="38">
        <v>1</v>
      </c>
      <c r="V26" s="50">
        <v>42599489439</v>
      </c>
      <c r="W26" s="38">
        <v>1</v>
      </c>
      <c r="X26" s="13"/>
      <c r="Y26" s="36" t="s">
        <v>318</v>
      </c>
      <c r="Z26" s="37">
        <v>736084.89</v>
      </c>
      <c r="AA26" s="38">
        <v>2.9375590652232218E-5</v>
      </c>
      <c r="AB26" s="49">
        <v>15</v>
      </c>
      <c r="AC26" s="38">
        <v>5.355115563393858E-5</v>
      </c>
      <c r="AD26" s="50">
        <v>1563000</v>
      </c>
      <c r="AE26" s="38">
        <v>3.6690580581678697E-5</v>
      </c>
      <c r="AF26" s="38"/>
      <c r="AG26" s="36" t="s">
        <v>160</v>
      </c>
      <c r="AH26" s="37">
        <v>4268123669.3599997</v>
      </c>
      <c r="AI26" s="38">
        <v>0.17033178573224439</v>
      </c>
      <c r="AJ26" s="49">
        <v>163</v>
      </c>
      <c r="AK26" s="38">
        <v>5.8192255788879919E-4</v>
      </c>
      <c r="AL26" s="50">
        <v>4381410000</v>
      </c>
      <c r="AM26" s="38">
        <v>0.10285123267202358</v>
      </c>
      <c r="AO26" s="36" t="s">
        <v>43</v>
      </c>
      <c r="AP26" s="37">
        <v>688922268.00000024</v>
      </c>
      <c r="AQ26" s="38">
        <v>2.7493430188433057E-2</v>
      </c>
      <c r="AR26" s="49">
        <v>2516</v>
      </c>
      <c r="AS26" s="38">
        <v>8.9823138383326312E-3</v>
      </c>
      <c r="AT26" s="50">
        <v>940230744</v>
      </c>
      <c r="AU26" s="38">
        <v>2.2071408751185996E-2</v>
      </c>
      <c r="AX26"/>
      <c r="BB26" s="20"/>
      <c r="BC26" s="20"/>
      <c r="BD26" s="20"/>
      <c r="BG26"/>
      <c r="BK26"/>
      <c r="BL26" s="45"/>
      <c r="BP26"/>
      <c r="BY26"/>
      <c r="CC26" s="36" t="s">
        <v>169</v>
      </c>
      <c r="CD26" s="48">
        <v>809772559.3199966</v>
      </c>
      <c r="CE26" s="38">
        <v>3.2316309636507619E-2</v>
      </c>
      <c r="CF26" s="47">
        <v>14805</v>
      </c>
      <c r="CG26" s="38">
        <v>5.2854990610697379E-2</v>
      </c>
      <c r="CH26" s="50">
        <v>1658367174</v>
      </c>
      <c r="CI26" s="38">
        <v>3.8929273468750976E-2</v>
      </c>
      <c r="CJ26" s="13"/>
      <c r="CS26" s="36" t="s">
        <v>126</v>
      </c>
      <c r="CT26" s="48">
        <v>455069633.7500006</v>
      </c>
      <c r="CU26" s="38">
        <v>1.8160866308913441E-2</v>
      </c>
      <c r="CV26" s="47">
        <v>4658</v>
      </c>
      <c r="CW26" s="38">
        <v>1.6629418862859062E-2</v>
      </c>
      <c r="CX26" s="50">
        <v>1028902557</v>
      </c>
      <c r="CY26" s="38">
        <v>2.4152931655984488E-2</v>
      </c>
      <c r="DA26" s="36" t="s">
        <v>35</v>
      </c>
      <c r="DB26" s="48">
        <v>25057705178.229862</v>
      </c>
      <c r="DC26" s="38">
        <v>1</v>
      </c>
      <c r="DD26" s="47">
        <v>280106</v>
      </c>
      <c r="DE26" s="38">
        <v>1</v>
      </c>
      <c r="DF26" s="50">
        <v>42599489439</v>
      </c>
      <c r="DG26" s="38">
        <v>1</v>
      </c>
      <c r="DN26" s="23"/>
      <c r="DO26" s="23"/>
      <c r="DP26" s="23"/>
      <c r="DQ26" s="36" t="s">
        <v>84</v>
      </c>
      <c r="DR26" s="37">
        <v>18050714372.800098</v>
      </c>
      <c r="DS26" s="38">
        <v>0.72036582138744942</v>
      </c>
      <c r="DT26" s="49">
        <v>258448</v>
      </c>
      <c r="DU26" s="38">
        <v>0.92267927141867723</v>
      </c>
      <c r="DV26" s="50">
        <v>33267762381</v>
      </c>
      <c r="DW26" s="38">
        <v>0.78094274882419679</v>
      </c>
      <c r="DY26" s="36" t="s">
        <v>90</v>
      </c>
      <c r="DZ26" s="37">
        <v>1770802697.2200053</v>
      </c>
      <c r="EA26" s="38">
        <v>7.0668989224060272E-2</v>
      </c>
      <c r="EB26" s="49">
        <v>22807</v>
      </c>
      <c r="EC26" s="38">
        <v>8.1422747102882484E-2</v>
      </c>
      <c r="ED26" s="50">
        <v>2716935926</v>
      </c>
      <c r="EE26" s="38">
        <v>6.3778603025054906E-2</v>
      </c>
      <c r="EG26" s="36" t="s">
        <v>237</v>
      </c>
      <c r="EH26" s="37">
        <v>648889.08000000007</v>
      </c>
      <c r="EI26" s="38">
        <v>2.5895790352093175E-5</v>
      </c>
      <c r="EJ26" s="49">
        <v>6</v>
      </c>
      <c r="EK26" s="38">
        <v>2.1420462253575432E-5</v>
      </c>
      <c r="EL26" s="50">
        <v>1460200</v>
      </c>
      <c r="EM26" s="38">
        <v>3.4277406119876664E-5</v>
      </c>
    </row>
    <row r="27" spans="1:151" x14ac:dyDescent="0.25">
      <c r="D27"/>
      <c r="F27" s="21"/>
      <c r="G27" s="21"/>
      <c r="H27" s="21"/>
      <c r="L27"/>
      <c r="M27"/>
      <c r="N27" s="21"/>
      <c r="O27" s="21"/>
      <c r="P27" s="21"/>
      <c r="V27"/>
      <c r="W27" s="13"/>
      <c r="X27" s="13"/>
      <c r="Y27" s="36" t="s">
        <v>319</v>
      </c>
      <c r="Z27" s="37">
        <v>1988414.43</v>
      </c>
      <c r="AA27" s="38">
        <v>7.9353413086188544E-5</v>
      </c>
      <c r="AB27" s="49">
        <v>54</v>
      </c>
      <c r="AC27" s="38">
        <v>1.9278416028217888E-4</v>
      </c>
      <c r="AD27" s="50">
        <v>6702000</v>
      </c>
      <c r="AE27" s="38">
        <v>1.5732582921203494E-4</v>
      </c>
      <c r="AF27" s="38"/>
      <c r="AG27" s="36" t="s">
        <v>33</v>
      </c>
      <c r="AH27" s="37">
        <v>25057705178.229862</v>
      </c>
      <c r="AI27" s="38">
        <v>1</v>
      </c>
      <c r="AJ27" s="49">
        <v>280106</v>
      </c>
      <c r="AK27" s="38">
        <v>1</v>
      </c>
      <c r="AL27" s="50">
        <v>42599489439</v>
      </c>
      <c r="AM27" s="38">
        <v>1</v>
      </c>
      <c r="AO27" s="36" t="s">
        <v>44</v>
      </c>
      <c r="AP27" s="37">
        <v>495828908.79000008</v>
      </c>
      <c r="AQ27" s="38">
        <v>1.9787482742864113E-2</v>
      </c>
      <c r="AR27" s="49">
        <v>1534</v>
      </c>
      <c r="AS27" s="38">
        <v>5.4764981828307859E-3</v>
      </c>
      <c r="AT27" s="50">
        <v>658384000</v>
      </c>
      <c r="AU27" s="38">
        <v>1.5455208704854732E-2</v>
      </c>
      <c r="AX27"/>
      <c r="BB27" s="20"/>
      <c r="BC27" s="20"/>
      <c r="BD27" s="20"/>
      <c r="BG27"/>
      <c r="BK27"/>
      <c r="BL27" s="45"/>
      <c r="BP27"/>
      <c r="BY27"/>
      <c r="CC27" s="36" t="s">
        <v>170</v>
      </c>
      <c r="CD27" s="48">
        <v>401566336.71000195</v>
      </c>
      <c r="CE27" s="38">
        <v>1.6025662919000372E-2</v>
      </c>
      <c r="CF27" s="47">
        <v>7485</v>
      </c>
      <c r="CG27" s="38">
        <v>2.672202666133535E-2</v>
      </c>
      <c r="CH27" s="50">
        <v>815443734</v>
      </c>
      <c r="CI27" s="38">
        <v>1.9142101108222627E-2</v>
      </c>
      <c r="CJ27" s="13"/>
      <c r="CS27" s="36" t="s">
        <v>228</v>
      </c>
      <c r="CT27" s="48">
        <v>504704048.15999997</v>
      </c>
      <c r="CU27" s="38">
        <v>2.01416707783156E-2</v>
      </c>
      <c r="CV27" s="47">
        <v>4355</v>
      </c>
      <c r="CW27" s="38">
        <v>1.5547685519053502E-2</v>
      </c>
      <c r="CX27" s="50">
        <v>1136410952</v>
      </c>
      <c r="CY27" s="38">
        <v>2.667663314667831E-2</v>
      </c>
      <c r="DI27" s="13"/>
      <c r="DJ27" s="13"/>
      <c r="DK27" s="13"/>
      <c r="DL27" s="13"/>
      <c r="DM27" s="13"/>
      <c r="DN27" s="23"/>
      <c r="DO27" s="23"/>
      <c r="DP27" s="23"/>
      <c r="DQ27" s="36" t="s">
        <v>33</v>
      </c>
      <c r="DR27" s="37">
        <v>25057705178.229862</v>
      </c>
      <c r="DS27" s="38">
        <v>1</v>
      </c>
      <c r="DT27" s="49">
        <v>280106</v>
      </c>
      <c r="DU27" s="38">
        <v>1</v>
      </c>
      <c r="DV27" s="50">
        <v>42599489439</v>
      </c>
      <c r="DW27" s="38">
        <v>1</v>
      </c>
      <c r="DY27" s="36" t="s">
        <v>91</v>
      </c>
      <c r="DZ27" s="37">
        <v>975562234.13999951</v>
      </c>
      <c r="EA27" s="38">
        <v>3.8932624803470359E-2</v>
      </c>
      <c r="EB27" s="49">
        <v>10476</v>
      </c>
      <c r="EC27" s="38">
        <v>3.7400127094742705E-2</v>
      </c>
      <c r="ED27" s="50">
        <v>1315581696</v>
      </c>
      <c r="EE27" s="38">
        <v>3.0882569564215947E-2</v>
      </c>
      <c r="EG27" s="36" t="s">
        <v>238</v>
      </c>
      <c r="EH27" s="37">
        <v>323281534.13999975</v>
      </c>
      <c r="EI27" s="38">
        <v>1.2901482072702603E-2</v>
      </c>
      <c r="EJ27" s="49">
        <v>5973</v>
      </c>
      <c r="EK27" s="38">
        <v>2.1324070173434344E-2</v>
      </c>
      <c r="EL27" s="50">
        <v>599425830</v>
      </c>
      <c r="EM27" s="38">
        <v>1.4071197516541673E-2</v>
      </c>
    </row>
    <row r="28" spans="1:151" x14ac:dyDescent="0.25">
      <c r="D28"/>
      <c r="F28" s="21"/>
      <c r="G28" s="21"/>
      <c r="H28" s="21"/>
      <c r="L28"/>
      <c r="M28"/>
      <c r="N28" s="21"/>
      <c r="O28" s="21"/>
      <c r="P28" s="21"/>
      <c r="V28"/>
      <c r="W28" s="13"/>
      <c r="X28" s="13"/>
      <c r="Y28" s="36" t="s">
        <v>33</v>
      </c>
      <c r="Z28" s="37">
        <v>25057705178.229862</v>
      </c>
      <c r="AA28" s="38">
        <v>1</v>
      </c>
      <c r="AB28" s="49">
        <v>280106</v>
      </c>
      <c r="AC28" s="38">
        <v>1</v>
      </c>
      <c r="AD28" s="50">
        <v>42599489439</v>
      </c>
      <c r="AE28" s="38">
        <v>1</v>
      </c>
      <c r="AF28" s="38"/>
      <c r="AG28" s="38"/>
      <c r="AH28" s="38"/>
      <c r="AI28" s="38"/>
      <c r="AJ28" s="38"/>
      <c r="AO28" s="36" t="s">
        <v>45</v>
      </c>
      <c r="AP28" s="37">
        <v>369629599.57999969</v>
      </c>
      <c r="AQ28" s="38">
        <v>1.4751135307519458E-2</v>
      </c>
      <c r="AR28" s="49">
        <v>988</v>
      </c>
      <c r="AS28" s="38">
        <v>3.5272361177554213E-3</v>
      </c>
      <c r="AT28" s="50">
        <v>480198000</v>
      </c>
      <c r="AU28" s="38">
        <v>1.127238862070438E-2</v>
      </c>
      <c r="AX28"/>
      <c r="BB28" s="20"/>
      <c r="BC28" s="20"/>
      <c r="BD28" s="20"/>
      <c r="BG28"/>
      <c r="BK28"/>
      <c r="BL28" s="45"/>
      <c r="BP28"/>
      <c r="BY28"/>
      <c r="CC28" s="36" t="s">
        <v>171</v>
      </c>
      <c r="CD28" s="48">
        <v>796998390.62999654</v>
      </c>
      <c r="CE28" s="38">
        <v>3.1806519589927529E-2</v>
      </c>
      <c r="CF28" s="47">
        <v>13299</v>
      </c>
      <c r="CG28" s="38">
        <v>4.7478454585049942E-2</v>
      </c>
      <c r="CH28" s="50">
        <v>1629361473</v>
      </c>
      <c r="CI28" s="38">
        <v>3.8248380308246448E-2</v>
      </c>
      <c r="CJ28" s="13"/>
      <c r="CS28" s="36" t="s">
        <v>35</v>
      </c>
      <c r="CT28" s="48">
        <v>25057705178.229862</v>
      </c>
      <c r="CU28" s="38">
        <v>1</v>
      </c>
      <c r="CV28" s="47">
        <v>280106</v>
      </c>
      <c r="CW28" s="38">
        <v>1</v>
      </c>
      <c r="CX28" s="50">
        <v>42599489439</v>
      </c>
      <c r="CY28" s="38">
        <v>1</v>
      </c>
      <c r="CZ28" s="23"/>
      <c r="DL28" s="20"/>
      <c r="DM28" s="27"/>
      <c r="DN28" s="23"/>
      <c r="DO28" s="23"/>
      <c r="DP28" s="23"/>
      <c r="DQ28" s="17"/>
      <c r="DR28" s="21"/>
      <c r="DS28" s="21"/>
      <c r="DY28" s="36" t="s">
        <v>92</v>
      </c>
      <c r="DZ28" s="37">
        <v>68033629.710000008</v>
      </c>
      <c r="EA28" s="38">
        <v>2.7150782254836184E-3</v>
      </c>
      <c r="EB28" s="49">
        <v>846</v>
      </c>
      <c r="EC28" s="38">
        <v>3.0202851777541358E-3</v>
      </c>
      <c r="ED28" s="50">
        <v>73330800</v>
      </c>
      <c r="EE28" s="38">
        <v>1.7214009126800794E-3</v>
      </c>
      <c r="EG28" s="36" t="s">
        <v>239</v>
      </c>
      <c r="EH28" s="37">
        <v>2470719354.8999896</v>
      </c>
      <c r="EI28" s="38">
        <v>9.860118224419652E-2</v>
      </c>
      <c r="EJ28" s="49">
        <v>52698</v>
      </c>
      <c r="EK28" s="38">
        <v>0.18813591997315302</v>
      </c>
      <c r="EL28" s="50">
        <v>5235167385</v>
      </c>
      <c r="EM28" s="38">
        <v>0.12289272603833565</v>
      </c>
    </row>
    <row r="29" spans="1:151" x14ac:dyDescent="0.25">
      <c r="D29"/>
      <c r="F29" s="21"/>
      <c r="G29" s="21"/>
      <c r="H29" s="21"/>
      <c r="L29"/>
      <c r="M29"/>
      <c r="V29"/>
      <c r="W29" s="13"/>
      <c r="X29" s="13"/>
      <c r="AD29"/>
      <c r="AE29"/>
      <c r="AF29" s="38"/>
      <c r="AG29" s="38"/>
      <c r="AH29" s="38"/>
      <c r="AI29" s="38"/>
      <c r="AJ29" s="38"/>
      <c r="AO29" s="36" t="s">
        <v>46</v>
      </c>
      <c r="AP29" s="37">
        <v>334302581.70999992</v>
      </c>
      <c r="AQ29" s="38">
        <v>1.3341308764397231E-2</v>
      </c>
      <c r="AR29" s="49">
        <v>790</v>
      </c>
      <c r="AS29" s="38">
        <v>2.8203608633874319E-3</v>
      </c>
      <c r="AT29" s="50">
        <v>435928300</v>
      </c>
      <c r="AU29" s="38">
        <v>1.0233181330124252E-2</v>
      </c>
      <c r="AX29"/>
      <c r="BB29" s="20"/>
      <c r="BC29" s="20"/>
      <c r="BD29" s="20"/>
      <c r="BG29"/>
      <c r="BK29"/>
      <c r="BL29" s="45"/>
      <c r="BP29"/>
      <c r="BY29"/>
      <c r="CC29" s="36" t="s">
        <v>172</v>
      </c>
      <c r="CD29" s="48">
        <v>598888.92000000004</v>
      </c>
      <c r="CE29" s="38">
        <v>2.3900389749988551E-5</v>
      </c>
      <c r="CF29" s="47">
        <v>4</v>
      </c>
      <c r="CG29" s="38">
        <v>1.4280308169050288E-5</v>
      </c>
      <c r="CH29" s="50">
        <v>980000</v>
      </c>
      <c r="CI29" s="38">
        <v>2.3004970550252795E-5</v>
      </c>
      <c r="CJ29" s="13"/>
      <c r="CK29" s="13"/>
      <c r="CL29" s="13"/>
      <c r="CM29" s="13"/>
      <c r="CN29" s="13"/>
      <c r="CO29" s="14"/>
      <c r="CV29" s="20"/>
      <c r="CW29" s="27"/>
      <c r="CX29" s="23"/>
      <c r="CY29" s="23"/>
      <c r="CZ29" s="23"/>
      <c r="DL29" s="20"/>
      <c r="DM29" s="27"/>
      <c r="DN29" s="23"/>
      <c r="DO29" s="23"/>
      <c r="DP29" s="23"/>
      <c r="DQ29" s="17"/>
      <c r="DR29" s="21"/>
      <c r="DS29" s="21"/>
      <c r="DY29" s="36" t="s">
        <v>93</v>
      </c>
      <c r="DZ29" s="37">
        <v>3814687.5</v>
      </c>
      <c r="EA29" s="38">
        <v>1.5223610753127548E-4</v>
      </c>
      <c r="EB29" s="49">
        <v>30</v>
      </c>
      <c r="EC29" s="38">
        <v>1.0710231126787716E-4</v>
      </c>
      <c r="ED29" s="50">
        <v>4000500</v>
      </c>
      <c r="EE29" s="38">
        <v>9.390957621049624E-5</v>
      </c>
      <c r="EG29" s="36" t="s">
        <v>240</v>
      </c>
      <c r="EH29" s="37">
        <v>271700.09999999998</v>
      </c>
      <c r="EI29" s="38">
        <v>1.0842976165113996E-5</v>
      </c>
      <c r="EJ29" s="49">
        <v>3</v>
      </c>
      <c r="EK29" s="38">
        <v>1.0710231126787716E-5</v>
      </c>
      <c r="EL29" s="50">
        <v>376200</v>
      </c>
      <c r="EM29" s="38">
        <v>8.8310917561276548E-6</v>
      </c>
    </row>
    <row r="30" spans="1:151" x14ac:dyDescent="0.25">
      <c r="D30"/>
      <c r="F30" s="21"/>
      <c r="G30" s="21"/>
      <c r="H30" s="21"/>
      <c r="L30"/>
      <c r="M30"/>
      <c r="V30"/>
      <c r="W30" s="13"/>
      <c r="X30" s="13"/>
      <c r="AD30"/>
      <c r="AE30"/>
      <c r="AF30" s="38"/>
      <c r="AG30" s="38"/>
      <c r="AH30" s="38"/>
      <c r="AI30" s="38"/>
      <c r="AJ30" s="38"/>
      <c r="AO30" s="36" t="s">
        <v>47</v>
      </c>
      <c r="AP30" s="37">
        <v>246319066.71000001</v>
      </c>
      <c r="AQ30" s="38">
        <v>9.8300728242266197E-3</v>
      </c>
      <c r="AR30" s="49">
        <v>519</v>
      </c>
      <c r="AS30" s="38">
        <v>1.8528699849342748E-3</v>
      </c>
      <c r="AT30" s="50">
        <v>306406100</v>
      </c>
      <c r="AU30" s="38">
        <v>7.1927176601202176E-3</v>
      </c>
      <c r="BB30" s="20"/>
      <c r="BC30" s="20"/>
      <c r="BD30" s="20"/>
      <c r="BG30"/>
      <c r="BK30"/>
      <c r="BL30" s="45"/>
      <c r="BP30"/>
      <c r="BY30"/>
      <c r="CC30" s="36" t="s">
        <v>173</v>
      </c>
      <c r="CD30" s="48">
        <v>3399754414.7400627</v>
      </c>
      <c r="CE30" s="38">
        <v>0.13567700595718438</v>
      </c>
      <c r="CF30" s="47">
        <v>61218</v>
      </c>
      <c r="CG30" s="38">
        <v>0.21855297637323012</v>
      </c>
      <c r="CH30" s="50">
        <v>6928741935</v>
      </c>
      <c r="CI30" s="38">
        <v>0.16264847363773119</v>
      </c>
      <c r="CJ30" s="13"/>
      <c r="CK30" s="13"/>
      <c r="CL30" s="13"/>
      <c r="CM30" s="13"/>
      <c r="CN30" s="13"/>
      <c r="CO30" s="14"/>
      <c r="CV30" s="20"/>
      <c r="CW30" s="27"/>
      <c r="CX30" s="23"/>
      <c r="CY30" s="23"/>
      <c r="CZ30" s="23"/>
      <c r="DL30" s="20"/>
      <c r="DM30" s="27"/>
      <c r="DN30" s="23"/>
      <c r="DO30" s="23"/>
      <c r="DP30" s="23"/>
      <c r="DQ30" s="17"/>
      <c r="DR30" s="21"/>
      <c r="DS30" s="21"/>
      <c r="DY30" s="36" t="s">
        <v>94</v>
      </c>
      <c r="DZ30" s="37">
        <v>6301898324.3600035</v>
      </c>
      <c r="EA30" s="38">
        <v>0.25149542943122716</v>
      </c>
      <c r="EB30" s="49">
        <v>17852</v>
      </c>
      <c r="EC30" s="38">
        <v>6.3733015358471437E-2</v>
      </c>
      <c r="ED30" s="50">
        <v>8312772838</v>
      </c>
      <c r="EE30" s="38">
        <v>0.1951378513562565</v>
      </c>
      <c r="EG30" s="36" t="s">
        <v>241</v>
      </c>
      <c r="EH30" s="37">
        <v>1263067.3499999999</v>
      </c>
      <c r="EI30" s="38">
        <v>5.0406345713467529E-5</v>
      </c>
      <c r="EJ30" s="49">
        <v>27</v>
      </c>
      <c r="EK30" s="38">
        <v>9.6392080141089438E-5</v>
      </c>
      <c r="EL30" s="50">
        <v>2435490</v>
      </c>
      <c r="EM30" s="38">
        <v>5.7171811964729778E-5</v>
      </c>
    </row>
    <row r="31" spans="1:151" x14ac:dyDescent="0.25">
      <c r="D31"/>
      <c r="F31" s="21"/>
      <c r="G31" s="21"/>
      <c r="H31" s="21"/>
      <c r="L31"/>
      <c r="M31"/>
      <c r="V31"/>
      <c r="W31" s="13"/>
      <c r="X31" s="13"/>
      <c r="AD31"/>
      <c r="AE31"/>
      <c r="AF31" s="38"/>
      <c r="AG31" s="38"/>
      <c r="AH31" s="38"/>
      <c r="AI31" s="38"/>
      <c r="AJ31" s="38"/>
      <c r="AO31" s="36" t="s">
        <v>48</v>
      </c>
      <c r="AP31" s="37">
        <v>186285937.09000003</v>
      </c>
      <c r="AQ31" s="38">
        <v>7.4342776309717813E-3</v>
      </c>
      <c r="AR31" s="49">
        <v>357</v>
      </c>
      <c r="AS31" s="38">
        <v>1.2745175040877383E-3</v>
      </c>
      <c r="AT31" s="50">
        <v>227983700</v>
      </c>
      <c r="AU31" s="38">
        <v>5.3517941882017025E-3</v>
      </c>
      <c r="BB31" s="20"/>
      <c r="BC31" s="20"/>
      <c r="BD31" s="20"/>
      <c r="BG31"/>
      <c r="BK31"/>
      <c r="BL31" s="45"/>
      <c r="BP31"/>
      <c r="BY31"/>
      <c r="CC31" s="36" t="s">
        <v>174</v>
      </c>
      <c r="CD31" s="48">
        <v>50000.160000000003</v>
      </c>
      <c r="CE31" s="38">
        <v>1.9954006021046232E-6</v>
      </c>
      <c r="CF31" s="47">
        <v>2</v>
      </c>
      <c r="CG31" s="38">
        <v>7.1401540845251441E-6</v>
      </c>
      <c r="CH31" s="50">
        <v>480200</v>
      </c>
      <c r="CI31" s="38">
        <v>1.127243556962387E-5</v>
      </c>
      <c r="CJ31" s="13"/>
      <c r="CK31" s="13"/>
      <c r="CL31" s="39"/>
      <c r="CM31" s="39"/>
      <c r="CN31" s="39"/>
      <c r="CO31" s="13"/>
      <c r="CV31" s="20"/>
      <c r="CW31" s="27"/>
      <c r="CX31" s="23"/>
      <c r="CY31" s="23"/>
      <c r="CZ31" s="23"/>
      <c r="DL31" s="20"/>
      <c r="DM31" s="27"/>
      <c r="DN31" s="23"/>
      <c r="DO31" s="23"/>
      <c r="DP31" s="23"/>
      <c r="DQ31" s="17"/>
      <c r="DR31" s="21"/>
      <c r="DS31" s="21"/>
      <c r="DY31" s="36" t="s">
        <v>33</v>
      </c>
      <c r="DZ31" s="37">
        <v>25057705178.229862</v>
      </c>
      <c r="EA31" s="38">
        <v>1</v>
      </c>
      <c r="EB31" s="49">
        <v>280106</v>
      </c>
      <c r="EC31" s="38">
        <v>1</v>
      </c>
      <c r="ED31" s="50">
        <v>42599489439</v>
      </c>
      <c r="EE31" s="38">
        <v>1</v>
      </c>
      <c r="EG31" s="36" t="s">
        <v>242</v>
      </c>
      <c r="EH31" s="37">
        <v>4994829.1500000004</v>
      </c>
      <c r="EI31" s="38">
        <v>1.9933306400058968E-4</v>
      </c>
      <c r="EJ31" s="49">
        <v>105</v>
      </c>
      <c r="EK31" s="38">
        <v>3.7485808943757008E-4</v>
      </c>
      <c r="EL31" s="50">
        <v>8250000</v>
      </c>
      <c r="EM31" s="38">
        <v>1.936642928975363E-4</v>
      </c>
    </row>
    <row r="32" spans="1:151" x14ac:dyDescent="0.25">
      <c r="D32"/>
      <c r="F32" s="21"/>
      <c r="G32" s="21"/>
      <c r="H32" s="21"/>
      <c r="L32"/>
      <c r="M32"/>
      <c r="V32"/>
      <c r="W32" s="13"/>
      <c r="X32" s="13"/>
      <c r="AD32"/>
      <c r="AE32"/>
      <c r="AF32" s="38"/>
      <c r="AG32" s="38"/>
      <c r="AH32" s="38"/>
      <c r="AI32" s="38"/>
      <c r="AJ32" s="38"/>
      <c r="AO32" s="36" t="s">
        <v>49</v>
      </c>
      <c r="AP32" s="37">
        <v>151484607.23999998</v>
      </c>
      <c r="AQ32" s="38">
        <v>6.045430184548976E-3</v>
      </c>
      <c r="AR32" s="49">
        <v>264</v>
      </c>
      <c r="AS32" s="38">
        <v>9.4250033915731896E-4</v>
      </c>
      <c r="AT32" s="50">
        <v>190058000</v>
      </c>
      <c r="AU32" s="38">
        <v>4.4615088702448426E-3</v>
      </c>
      <c r="BB32" s="20"/>
      <c r="BC32" s="20"/>
      <c r="BD32" s="20"/>
      <c r="BG32"/>
      <c r="BK32"/>
      <c r="BL32" s="45"/>
      <c r="BP32"/>
      <c r="BY32"/>
      <c r="CC32" s="36" t="s">
        <v>175</v>
      </c>
      <c r="CD32" s="48">
        <v>5679846925.8000317</v>
      </c>
      <c r="CE32" s="38">
        <v>0.22667067416591219</v>
      </c>
      <c r="CF32" s="47">
        <v>104683</v>
      </c>
      <c r="CG32" s="38">
        <v>0.37372637501517281</v>
      </c>
      <c r="CH32" s="50">
        <v>11648858595</v>
      </c>
      <c r="CI32" s="38">
        <v>0.27345066216534097</v>
      </c>
      <c r="CJ32" s="13"/>
      <c r="CK32" s="36"/>
      <c r="CL32" s="37"/>
      <c r="CM32" s="38"/>
      <c r="CN32" s="41"/>
      <c r="CO32" s="38"/>
      <c r="CV32" s="20"/>
      <c r="CW32" s="27"/>
      <c r="CX32" s="23"/>
      <c r="CY32" s="23"/>
      <c r="CZ32" s="23"/>
      <c r="DL32" s="20"/>
      <c r="DM32" s="27"/>
      <c r="DN32" s="23"/>
      <c r="DO32" s="23"/>
      <c r="DP32" s="23"/>
      <c r="DQ32" s="17"/>
      <c r="DR32" s="21"/>
      <c r="DS32" s="21"/>
      <c r="EE32"/>
      <c r="EG32" s="36" t="s">
        <v>243</v>
      </c>
      <c r="EH32" s="37">
        <v>3453371300.7100005</v>
      </c>
      <c r="EI32" s="38">
        <v>0.13781674244097539</v>
      </c>
      <c r="EJ32" s="49">
        <v>37976</v>
      </c>
      <c r="EK32" s="38">
        <v>0.13557724575696342</v>
      </c>
      <c r="EL32" s="50">
        <v>8109000867</v>
      </c>
      <c r="EM32" s="38">
        <v>0.1903544144258259</v>
      </c>
    </row>
    <row r="33" spans="4:143" x14ac:dyDescent="0.25">
      <c r="D33"/>
      <c r="F33" s="21"/>
      <c r="G33" s="21"/>
      <c r="H33" s="21"/>
      <c r="L33"/>
      <c r="M33"/>
      <c r="V33"/>
      <c r="W33" s="13"/>
      <c r="X33" s="13"/>
      <c r="AD33"/>
      <c r="AE33"/>
      <c r="AF33" s="38"/>
      <c r="AG33" s="38"/>
      <c r="AH33" s="38"/>
      <c r="AI33" s="38"/>
      <c r="AJ33" s="38"/>
      <c r="AO33" s="36" t="s">
        <v>50</v>
      </c>
      <c r="AP33" s="37">
        <v>140559166.69999996</v>
      </c>
      <c r="AQ33" s="38">
        <v>5.6094189671493854E-3</v>
      </c>
      <c r="AR33" s="49">
        <v>225</v>
      </c>
      <c r="AS33" s="38">
        <v>8.0326733450907873E-4</v>
      </c>
      <c r="AT33" s="50">
        <v>167691800</v>
      </c>
      <c r="AU33" s="38">
        <v>3.9364744086927365E-3</v>
      </c>
      <c r="BG33"/>
      <c r="BK33"/>
      <c r="BL33" s="45"/>
      <c r="BP33"/>
      <c r="BY33"/>
      <c r="CC33" s="36" t="s">
        <v>176</v>
      </c>
      <c r="CD33" s="48">
        <v>776468895.5100013</v>
      </c>
      <c r="CE33" s="38">
        <v>3.0987230873184574E-2</v>
      </c>
      <c r="CF33" s="47">
        <v>13446</v>
      </c>
      <c r="CG33" s="38">
        <v>4.8003255910262541E-2</v>
      </c>
      <c r="CH33" s="50">
        <v>1549823052</v>
      </c>
      <c r="CI33" s="38">
        <v>3.6381258846288685E-2</v>
      </c>
      <c r="CJ33" s="13"/>
      <c r="CK33" s="36"/>
      <c r="CL33" s="37"/>
      <c r="CM33" s="38"/>
      <c r="CN33" s="41"/>
      <c r="CO33" s="38"/>
      <c r="CV33" s="20"/>
      <c r="CW33" s="27"/>
      <c r="CX33" s="23"/>
      <c r="CY33" s="23"/>
      <c r="CZ33" s="23"/>
      <c r="DL33" s="20"/>
      <c r="DM33" s="27"/>
      <c r="DN33" s="23"/>
      <c r="DO33" s="23"/>
      <c r="DP33" s="23"/>
      <c r="DQ33" s="17"/>
      <c r="DR33" s="21"/>
      <c r="DS33" s="21"/>
      <c r="EG33" s="36" t="s">
        <v>244</v>
      </c>
      <c r="EH33" s="37">
        <v>2742528.93</v>
      </c>
      <c r="EI33" s="38">
        <v>1.0944852732893951E-4</v>
      </c>
      <c r="EJ33" s="49">
        <v>42</v>
      </c>
      <c r="EK33" s="38">
        <v>1.4994323577502801E-4</v>
      </c>
      <c r="EL33" s="50">
        <v>4942950</v>
      </c>
      <c r="EM33" s="38">
        <v>1.1603308079731843E-4</v>
      </c>
    </row>
    <row r="34" spans="4:143" x14ac:dyDescent="0.25">
      <c r="D34"/>
      <c r="F34" s="21"/>
      <c r="G34" s="21"/>
      <c r="H34" s="21"/>
      <c r="L34"/>
      <c r="M34"/>
      <c r="V34"/>
      <c r="W34" s="13"/>
      <c r="X34" s="13"/>
      <c r="AD34"/>
      <c r="AE34"/>
      <c r="AF34" s="38"/>
      <c r="AG34" s="38"/>
      <c r="AH34" s="38"/>
      <c r="AI34" s="38"/>
      <c r="AJ34" s="38"/>
      <c r="AO34" s="36" t="s">
        <v>51</v>
      </c>
      <c r="AP34" s="37">
        <v>138610791.66000006</v>
      </c>
      <c r="AQ34" s="38">
        <v>5.531663441408239E-3</v>
      </c>
      <c r="AR34" s="49">
        <v>206</v>
      </c>
      <c r="AS34" s="38">
        <v>7.354358707060898E-4</v>
      </c>
      <c r="AT34" s="50">
        <v>163250000</v>
      </c>
      <c r="AU34" s="38">
        <v>3.832205553396703E-3</v>
      </c>
      <c r="BG34"/>
      <c r="BK34"/>
      <c r="BL34" s="45"/>
      <c r="BP34"/>
      <c r="BY34"/>
      <c r="CC34" s="36" t="s">
        <v>177</v>
      </c>
      <c r="CD34" s="48">
        <v>1066059335.6399969</v>
      </c>
      <c r="CE34" s="38">
        <v>4.2544172662953565E-2</v>
      </c>
      <c r="CF34" s="47">
        <v>17245</v>
      </c>
      <c r="CG34" s="38">
        <v>6.1565978593818058E-2</v>
      </c>
      <c r="CH34" s="50">
        <v>2397394185</v>
      </c>
      <c r="CI34" s="38">
        <v>5.6277533289053369E-2</v>
      </c>
      <c r="CJ34" s="13"/>
      <c r="CK34" s="36"/>
      <c r="CL34" s="37"/>
      <c r="CM34" s="38"/>
      <c r="CN34" s="41"/>
      <c r="CO34" s="38"/>
      <c r="CV34" s="20"/>
      <c r="CW34" s="27"/>
      <c r="CX34" s="23"/>
      <c r="CY34" s="23"/>
      <c r="CZ34" s="23"/>
      <c r="DL34" s="20"/>
      <c r="DM34" s="27"/>
      <c r="DN34" s="23"/>
      <c r="DO34" s="23"/>
      <c r="DP34" s="23"/>
      <c r="DQ34" s="17"/>
      <c r="DR34" s="21"/>
      <c r="DS34" s="21"/>
      <c r="EG34" s="36" t="s">
        <v>245</v>
      </c>
      <c r="EH34" s="37">
        <v>646916.69999999995</v>
      </c>
      <c r="EI34" s="38">
        <v>2.5817076839184829E-5</v>
      </c>
      <c r="EJ34" s="49">
        <v>9</v>
      </c>
      <c r="EK34" s="38">
        <v>3.2130693380363148E-5</v>
      </c>
      <c r="EL34" s="50">
        <v>876000</v>
      </c>
      <c r="EM34" s="38">
        <v>2.0563626736756581E-5</v>
      </c>
    </row>
    <row r="35" spans="4:143" x14ac:dyDescent="0.25">
      <c r="D35"/>
      <c r="F35" s="21"/>
      <c r="G35" s="21"/>
      <c r="H35" s="21"/>
      <c r="L35"/>
      <c r="M35"/>
      <c r="V35"/>
      <c r="W35" s="13"/>
      <c r="X35" s="13"/>
      <c r="AO35" s="36" t="s">
        <v>52</v>
      </c>
      <c r="AP35" s="37">
        <v>114963795.98000002</v>
      </c>
      <c r="AQ35" s="38">
        <v>4.5879618728965083E-3</v>
      </c>
      <c r="AR35" s="49">
        <v>158</v>
      </c>
      <c r="AS35" s="38">
        <v>5.6407217267748634E-4</v>
      </c>
      <c r="AT35" s="50">
        <v>143014000</v>
      </c>
      <c r="AU35" s="38">
        <v>3.3571763859937278E-3</v>
      </c>
      <c r="AX35"/>
      <c r="BG35"/>
      <c r="BK35"/>
      <c r="BL35" s="45"/>
      <c r="BP35"/>
      <c r="BY35"/>
      <c r="CC35" s="36" t="s">
        <v>178</v>
      </c>
      <c r="CD35" s="48">
        <v>16066227.059999991</v>
      </c>
      <c r="CE35" s="38">
        <v>6.4116913124025144E-4</v>
      </c>
      <c r="CF35" s="47">
        <v>228</v>
      </c>
      <c r="CG35" s="38">
        <v>8.139775656358664E-4</v>
      </c>
      <c r="CH35" s="50">
        <v>31597800</v>
      </c>
      <c r="CI35" s="38">
        <v>7.4174128413548757E-4</v>
      </c>
      <c r="CJ35" s="13"/>
      <c r="CV35" s="20"/>
      <c r="CW35" s="27"/>
      <c r="CX35" s="23"/>
      <c r="CY35" s="23"/>
      <c r="CZ35" s="23"/>
      <c r="DA35" s="21"/>
      <c r="DB35" s="21"/>
      <c r="DL35" s="20"/>
      <c r="DM35" s="27"/>
      <c r="DN35" s="23"/>
      <c r="DO35" s="23"/>
      <c r="DP35" s="23"/>
      <c r="DQ35" s="17"/>
      <c r="DR35" s="21"/>
      <c r="DS35" s="21"/>
      <c r="EG35" s="36" t="s">
        <v>246</v>
      </c>
      <c r="EH35" s="37">
        <v>508647567.65999925</v>
      </c>
      <c r="EI35" s="38">
        <v>2.0299048298401737E-2</v>
      </c>
      <c r="EJ35" s="49">
        <v>10050</v>
      </c>
      <c r="EK35" s="38">
        <v>3.5879274274738845E-2</v>
      </c>
      <c r="EL35" s="50">
        <v>1057958190</v>
      </c>
      <c r="EM35" s="38">
        <v>2.4834996943213013E-2</v>
      </c>
    </row>
    <row r="36" spans="4:143" x14ac:dyDescent="0.25">
      <c r="D36"/>
      <c r="F36" s="21"/>
      <c r="G36" s="21"/>
      <c r="H36" s="21"/>
      <c r="L36"/>
      <c r="M36"/>
      <c r="V36"/>
      <c r="W36" s="13"/>
      <c r="X36" s="13"/>
      <c r="AO36" s="36" t="s">
        <v>53</v>
      </c>
      <c r="AP36" s="37">
        <v>122553786.20000003</v>
      </c>
      <c r="AQ36" s="38">
        <v>4.8908623247141871E-3</v>
      </c>
      <c r="AR36" s="49">
        <v>158</v>
      </c>
      <c r="AS36" s="38">
        <v>5.6407217267748634E-4</v>
      </c>
      <c r="AT36" s="50">
        <v>162692000</v>
      </c>
      <c r="AU36" s="38">
        <v>3.8191068048589061E-3</v>
      </c>
      <c r="AX36"/>
      <c r="BG36"/>
      <c r="BK36"/>
      <c r="BL36" s="45"/>
      <c r="BP36"/>
      <c r="BY36"/>
      <c r="CC36" s="36" t="s">
        <v>179</v>
      </c>
      <c r="CD36" s="48">
        <v>3027005.0400000005</v>
      </c>
      <c r="CE36" s="38">
        <v>1.2080136702342013E-4</v>
      </c>
      <c r="CF36" s="47">
        <v>8</v>
      </c>
      <c r="CG36" s="38">
        <v>2.8560616338100576E-5</v>
      </c>
      <c r="CH36" s="50">
        <v>4120000</v>
      </c>
      <c r="CI36" s="38">
        <v>9.6714774150042366E-5</v>
      </c>
      <c r="CJ36" s="13"/>
      <c r="CV36" s="20"/>
      <c r="CW36" s="27"/>
      <c r="CX36" s="23"/>
      <c r="CY36" s="23"/>
      <c r="CZ36" s="23"/>
      <c r="DA36" s="21"/>
      <c r="DB36" s="21"/>
      <c r="DL36" s="20"/>
      <c r="DM36" s="27"/>
      <c r="DN36" s="23"/>
      <c r="DO36" s="23"/>
      <c r="DP36" s="23"/>
      <c r="DQ36" s="17"/>
      <c r="DR36" s="21"/>
      <c r="DS36" s="21"/>
      <c r="EG36" s="36" t="s">
        <v>247</v>
      </c>
      <c r="EH36" s="37">
        <v>1261000.3199999998</v>
      </c>
      <c r="EI36" s="38">
        <v>5.03238549193067E-5</v>
      </c>
      <c r="EJ36" s="49">
        <v>30</v>
      </c>
      <c r="EK36" s="38">
        <v>1.0710231126787716E-4</v>
      </c>
      <c r="EL36" s="50">
        <v>2628000</v>
      </c>
      <c r="EM36" s="38">
        <v>6.1690880210269744E-5</v>
      </c>
    </row>
    <row r="37" spans="4:143" x14ac:dyDescent="0.25">
      <c r="D37"/>
      <c r="F37" s="21"/>
      <c r="G37" s="21"/>
      <c r="H37" s="21"/>
      <c r="L37"/>
      <c r="M37"/>
      <c r="V37"/>
      <c r="W37" s="13"/>
      <c r="X37" s="13"/>
      <c r="AO37" s="36" t="s">
        <v>54</v>
      </c>
      <c r="AP37" s="37">
        <v>85612939.460000023</v>
      </c>
      <c r="AQ37" s="38">
        <v>3.4166312857084997E-3</v>
      </c>
      <c r="AR37" s="49">
        <v>104</v>
      </c>
      <c r="AS37" s="38">
        <v>3.7128801239530749E-4</v>
      </c>
      <c r="AT37" s="50">
        <v>102722000</v>
      </c>
      <c r="AU37" s="38">
        <v>2.411343453941906E-3</v>
      </c>
      <c r="AX37"/>
      <c r="BG37"/>
      <c r="BK37"/>
      <c r="BL37" s="45"/>
      <c r="BP37"/>
      <c r="BY37"/>
      <c r="CC37" s="36" t="s">
        <v>180</v>
      </c>
      <c r="CD37" s="48">
        <v>57314864.019999988</v>
      </c>
      <c r="CE37" s="38">
        <v>2.2873149640931663E-3</v>
      </c>
      <c r="CF37" s="47">
        <v>202</v>
      </c>
      <c r="CG37" s="38">
        <v>7.2115556253703954E-4</v>
      </c>
      <c r="CH37" s="50">
        <v>62348000</v>
      </c>
      <c r="CI37" s="38">
        <v>1.4635856161909809E-3</v>
      </c>
      <c r="CJ37" s="13"/>
      <c r="CV37" s="20"/>
      <c r="CW37" s="27"/>
      <c r="CX37" s="23"/>
      <c r="CY37" s="23"/>
      <c r="CZ37" s="23"/>
      <c r="DA37" s="21"/>
      <c r="DB37" s="21"/>
      <c r="DL37" s="20"/>
      <c r="DM37" s="27"/>
      <c r="DN37" s="23"/>
      <c r="DO37" s="23"/>
      <c r="DP37" s="23"/>
      <c r="DQ37" s="17"/>
      <c r="DR37" s="21"/>
      <c r="DS37" s="21"/>
      <c r="EG37" s="36" t="s">
        <v>248</v>
      </c>
      <c r="EH37" s="37">
        <v>4622249.6999999993</v>
      </c>
      <c r="EI37" s="38">
        <v>1.8446420640369775E-4</v>
      </c>
      <c r="EJ37" s="49">
        <v>102</v>
      </c>
      <c r="EK37" s="38">
        <v>3.6414785831078236E-4</v>
      </c>
      <c r="EL37" s="50">
        <v>8751000</v>
      </c>
      <c r="EM37" s="38">
        <v>2.054249972298594E-4</v>
      </c>
    </row>
    <row r="38" spans="4:143" x14ac:dyDescent="0.25">
      <c r="D38"/>
      <c r="F38" s="21"/>
      <c r="G38" s="21"/>
      <c r="H38" s="21"/>
      <c r="L38"/>
      <c r="M38"/>
      <c r="V38"/>
      <c r="W38" s="13"/>
      <c r="X38" s="13"/>
      <c r="AO38" s="36" t="s">
        <v>55</v>
      </c>
      <c r="AP38" s="37">
        <v>73644712.859999999</v>
      </c>
      <c r="AQ38" s="38">
        <v>2.9390046828383365E-3</v>
      </c>
      <c r="AR38" s="49">
        <v>84</v>
      </c>
      <c r="AS38" s="38">
        <v>2.9988647155005602E-4</v>
      </c>
      <c r="AT38" s="50">
        <v>102362000</v>
      </c>
      <c r="AU38" s="38">
        <v>2.4028926484336499E-3</v>
      </c>
      <c r="AX38"/>
      <c r="BG38"/>
      <c r="BK38"/>
      <c r="BL38" s="45"/>
      <c r="BP38"/>
      <c r="BY38"/>
      <c r="CC38" s="36" t="s">
        <v>181</v>
      </c>
      <c r="CD38" s="48">
        <v>38734588.140000015</v>
      </c>
      <c r="CE38" s="38">
        <v>1.5458154633271298E-3</v>
      </c>
      <c r="CF38" s="47">
        <v>194</v>
      </c>
      <c r="CG38" s="38">
        <v>6.9259494619893901E-4</v>
      </c>
      <c r="CH38" s="50">
        <v>45794000</v>
      </c>
      <c r="CI38" s="38">
        <v>1.07498940956967E-3</v>
      </c>
      <c r="CJ38" s="13"/>
      <c r="CV38" s="20"/>
      <c r="CW38" s="27"/>
      <c r="CX38" s="23"/>
      <c r="CY38" s="23"/>
      <c r="CZ38" s="23"/>
      <c r="DA38" s="21"/>
      <c r="DB38" s="21"/>
      <c r="DL38" s="20"/>
      <c r="DM38" s="27"/>
      <c r="DN38" s="23"/>
      <c r="DO38" s="23"/>
      <c r="DP38" s="23"/>
      <c r="DQ38" s="17"/>
      <c r="DR38" s="21"/>
      <c r="DS38" s="21"/>
      <c r="EG38" s="36" t="s">
        <v>249</v>
      </c>
      <c r="EH38" s="37">
        <v>844783.41</v>
      </c>
      <c r="EI38" s="38">
        <v>3.3713518615980361E-5</v>
      </c>
      <c r="EJ38" s="49">
        <v>33</v>
      </c>
      <c r="EK38" s="38">
        <v>1.1781254239466487E-4</v>
      </c>
      <c r="EL38" s="50">
        <v>1706400</v>
      </c>
      <c r="EM38" s="38">
        <v>4.0056818109134051E-5</v>
      </c>
    </row>
    <row r="39" spans="4:143" x14ac:dyDescent="0.25">
      <c r="D39"/>
      <c r="F39" s="21"/>
      <c r="G39" s="21"/>
      <c r="H39" s="21"/>
      <c r="L39"/>
      <c r="M39"/>
      <c r="V39"/>
      <c r="W39" s="13"/>
      <c r="X39" s="13"/>
      <c r="AO39" s="36" t="s">
        <v>56</v>
      </c>
      <c r="AP39" s="37">
        <v>88558975.539999992</v>
      </c>
      <c r="AQ39" s="38">
        <v>3.5342013528413623E-3</v>
      </c>
      <c r="AR39" s="49">
        <v>96</v>
      </c>
      <c r="AS39" s="38">
        <v>3.4272739605720691E-4</v>
      </c>
      <c r="AT39" s="50">
        <v>109706000</v>
      </c>
      <c r="AU39" s="38">
        <v>2.5752890808020748E-3</v>
      </c>
      <c r="AX39"/>
      <c r="BG39"/>
      <c r="BK39"/>
      <c r="BL39" s="45"/>
      <c r="BP39"/>
      <c r="BY39"/>
      <c r="CC39" s="36" t="s">
        <v>182</v>
      </c>
      <c r="CD39" s="48">
        <v>469922968.77999938</v>
      </c>
      <c r="CE39" s="38">
        <v>1.8753631485307305E-2</v>
      </c>
      <c r="CF39" s="47">
        <v>1204</v>
      </c>
      <c r="CG39" s="38">
        <v>4.2983727588841369E-3</v>
      </c>
      <c r="CH39" s="50">
        <v>572722000</v>
      </c>
      <c r="CI39" s="38">
        <v>1.3444339534165186E-2</v>
      </c>
      <c r="CJ39" s="13"/>
      <c r="CV39" s="20"/>
      <c r="CW39" s="27"/>
      <c r="CX39" s="23"/>
      <c r="CY39" s="23"/>
      <c r="CZ39" s="23"/>
      <c r="DA39" s="21"/>
      <c r="DB39" s="21"/>
      <c r="DL39" s="20"/>
      <c r="DM39" s="27"/>
      <c r="DN39" s="23"/>
      <c r="DO39" s="23"/>
      <c r="DP39" s="23"/>
      <c r="DQ39" s="17"/>
      <c r="DR39" s="21"/>
      <c r="DS39" s="21"/>
      <c r="EG39" s="36" t="s">
        <v>250</v>
      </c>
      <c r="EH39" s="37">
        <v>6799184.2199999997</v>
      </c>
      <c r="EI39" s="38">
        <v>2.7134105743678122E-4</v>
      </c>
      <c r="EJ39" s="49">
        <v>291</v>
      </c>
      <c r="EK39" s="38">
        <v>1.0388924192984085E-3</v>
      </c>
      <c r="EL39" s="50">
        <v>18806700</v>
      </c>
      <c r="EM39" s="38">
        <v>4.4147712208922373E-4</v>
      </c>
    </row>
    <row r="40" spans="4:143" x14ac:dyDescent="0.25">
      <c r="D40"/>
      <c r="F40" s="21"/>
      <c r="G40" s="21"/>
      <c r="H40" s="21"/>
      <c r="L40"/>
      <c r="M40"/>
      <c r="V40"/>
      <c r="W40" s="13"/>
      <c r="X40" s="13"/>
      <c r="AO40" s="36" t="s">
        <v>57</v>
      </c>
      <c r="AP40" s="37">
        <v>95471921.099999994</v>
      </c>
      <c r="AQ40" s="38">
        <v>3.8100823846768704E-3</v>
      </c>
      <c r="AR40" s="49">
        <v>98</v>
      </c>
      <c r="AS40" s="38">
        <v>3.4986755014173205E-4</v>
      </c>
      <c r="AT40" s="50">
        <v>111228000</v>
      </c>
      <c r="AU40" s="38">
        <v>2.6110172085342018E-3</v>
      </c>
      <c r="AX40"/>
      <c r="BG40"/>
      <c r="BK40"/>
      <c r="BL40" s="45"/>
      <c r="BY40"/>
      <c r="CC40" s="36" t="s">
        <v>183</v>
      </c>
      <c r="CD40" s="48">
        <v>3225830.3</v>
      </c>
      <c r="CE40" s="38">
        <v>1.2873606250274672E-4</v>
      </c>
      <c r="CF40" s="47">
        <v>4</v>
      </c>
      <c r="CG40" s="38">
        <v>1.4280308169050288E-5</v>
      </c>
      <c r="CH40" s="50">
        <v>3452000</v>
      </c>
      <c r="CI40" s="38">
        <v>8.1033835040278211E-5</v>
      </c>
      <c r="CJ40" s="13"/>
      <c r="DL40" s="20"/>
      <c r="DM40" s="27"/>
      <c r="DN40" s="23"/>
      <c r="DO40" s="23"/>
      <c r="DP40" s="23"/>
      <c r="DQ40" s="17"/>
      <c r="DR40" s="21"/>
      <c r="DS40" s="21"/>
      <c r="EG40" s="36" t="s">
        <v>251</v>
      </c>
      <c r="EH40" s="37">
        <v>314193553.08000004</v>
      </c>
      <c r="EI40" s="38">
        <v>1.2538799975704536E-2</v>
      </c>
      <c r="EJ40" s="49">
        <v>5805</v>
      </c>
      <c r="EK40" s="38">
        <v>2.072429723033423E-2</v>
      </c>
      <c r="EL40" s="50">
        <v>450986937</v>
      </c>
      <c r="EM40" s="38">
        <v>1.0586674698197667E-2</v>
      </c>
    </row>
    <row r="41" spans="4:143" x14ac:dyDescent="0.25">
      <c r="D41"/>
      <c r="F41" s="21"/>
      <c r="G41" s="21"/>
      <c r="H41" s="21"/>
      <c r="V41"/>
      <c r="W41" s="13"/>
      <c r="X41" s="13"/>
      <c r="AO41" s="36" t="s">
        <v>58</v>
      </c>
      <c r="AP41" s="37">
        <v>5926288748.9000015</v>
      </c>
      <c r="AQ41" s="38">
        <v>0.23650564593795134</v>
      </c>
      <c r="AR41" s="49">
        <v>1001</v>
      </c>
      <c r="AS41" s="38">
        <v>3.5736471193048348E-3</v>
      </c>
      <c r="AT41" s="50">
        <v>6401477038</v>
      </c>
      <c r="AU41" s="38">
        <v>0.15027121503807092</v>
      </c>
      <c r="BG41"/>
      <c r="BK41"/>
      <c r="BL41" s="45"/>
      <c r="BY41"/>
      <c r="CC41" s="36" t="s">
        <v>184</v>
      </c>
      <c r="CD41" s="48">
        <v>1278555334.8200016</v>
      </c>
      <c r="CE41" s="38">
        <v>5.1024438420275237E-2</v>
      </c>
      <c r="CF41" s="47">
        <v>3808</v>
      </c>
      <c r="CG41" s="38">
        <v>1.3594853376935874E-2</v>
      </c>
      <c r="CH41" s="50">
        <v>1600253000</v>
      </c>
      <c r="CI41" s="38">
        <v>3.7565074630564986E-2</v>
      </c>
      <c r="CJ41" s="13"/>
      <c r="DL41" s="20"/>
      <c r="DM41" s="27"/>
      <c r="DN41" s="23"/>
      <c r="DO41" s="23"/>
      <c r="DP41" s="23"/>
      <c r="DQ41" s="17"/>
      <c r="DR41" s="21"/>
      <c r="DS41" s="21"/>
      <c r="EG41" s="36" t="s">
        <v>252</v>
      </c>
      <c r="EH41" s="37">
        <v>221446062.96000013</v>
      </c>
      <c r="EI41" s="38">
        <v>8.8374438674612751E-3</v>
      </c>
      <c r="EJ41" s="49">
        <v>4746</v>
      </c>
      <c r="EK41" s="38">
        <v>1.6943585642578168E-2</v>
      </c>
      <c r="EL41" s="50">
        <v>428004060</v>
      </c>
      <c r="EM41" s="38">
        <v>1.0047164077233297E-2</v>
      </c>
    </row>
    <row r="42" spans="4:143" x14ac:dyDescent="0.25">
      <c r="D42"/>
      <c r="F42" s="21"/>
      <c r="G42" s="21"/>
      <c r="H42" s="21"/>
      <c r="V42"/>
      <c r="W42" s="13"/>
      <c r="X42" s="13"/>
      <c r="AO42" s="36" t="s">
        <v>33</v>
      </c>
      <c r="AP42" s="37">
        <v>25057705178.229862</v>
      </c>
      <c r="AQ42" s="38">
        <v>1</v>
      </c>
      <c r="AR42" s="49">
        <v>280106</v>
      </c>
      <c r="AS42" s="38">
        <v>1</v>
      </c>
      <c r="AT42" s="50">
        <v>42599489439</v>
      </c>
      <c r="AU42" s="38">
        <v>1</v>
      </c>
      <c r="BG42"/>
      <c r="BK42"/>
      <c r="BL42" s="45"/>
      <c r="BY42"/>
      <c r="CC42" s="36" t="s">
        <v>185</v>
      </c>
      <c r="CD42" s="48">
        <v>1062499981.4399999</v>
      </c>
      <c r="CE42" s="38">
        <v>4.2402126367226164E-2</v>
      </c>
      <c r="CF42" s="47">
        <v>2110</v>
      </c>
      <c r="CG42" s="38">
        <v>7.5328625591740269E-3</v>
      </c>
      <c r="CH42" s="50">
        <v>1347855038</v>
      </c>
      <c r="CI42" s="38">
        <v>3.1640168831836596E-2</v>
      </c>
      <c r="CJ42" s="13"/>
      <c r="DL42" s="20"/>
      <c r="DM42" s="27"/>
      <c r="DN42" s="23"/>
      <c r="DO42" s="23"/>
      <c r="DP42" s="23"/>
      <c r="DQ42" s="17"/>
      <c r="DR42" s="21"/>
      <c r="DS42" s="21"/>
      <c r="EG42" s="36" t="s">
        <v>253</v>
      </c>
      <c r="EH42" s="37">
        <v>708379011.42000103</v>
      </c>
      <c r="EI42" s="38">
        <v>2.826990765441046E-2</v>
      </c>
      <c r="EJ42" s="49">
        <v>14583</v>
      </c>
      <c r="EK42" s="38">
        <v>5.2062433507315091E-2</v>
      </c>
      <c r="EL42" s="50">
        <v>1367279115</v>
      </c>
      <c r="EM42" s="38">
        <v>3.2096138545459903E-2</v>
      </c>
    </row>
    <row r="43" spans="4:143" x14ac:dyDescent="0.25">
      <c r="D43"/>
      <c r="F43" s="21"/>
      <c r="G43" s="21"/>
      <c r="H43" s="21"/>
      <c r="V43"/>
      <c r="W43" s="13"/>
      <c r="X43" s="13"/>
      <c r="AO43"/>
      <c r="BG43"/>
      <c r="BK43"/>
      <c r="BL43" s="45"/>
      <c r="BY43"/>
      <c r="CC43" s="36" t="s">
        <v>186</v>
      </c>
      <c r="CD43" s="48">
        <v>2888283.08</v>
      </c>
      <c r="CE43" s="38">
        <v>1.1526526708875723E-4</v>
      </c>
      <c r="CF43" s="47">
        <v>16</v>
      </c>
      <c r="CG43" s="38">
        <v>5.7121232676201152E-5</v>
      </c>
      <c r="CH43" s="50">
        <v>4300000</v>
      </c>
      <c r="CI43" s="38">
        <v>1.0094017690417044E-4</v>
      </c>
      <c r="CJ43" s="13"/>
      <c r="DL43" s="20"/>
      <c r="DM43" s="27"/>
      <c r="DN43" s="23"/>
      <c r="DO43" s="23"/>
      <c r="DP43" s="23"/>
      <c r="DQ43" s="17"/>
      <c r="DR43" s="21"/>
      <c r="DS43" s="21"/>
      <c r="EG43" s="36" t="s">
        <v>254</v>
      </c>
      <c r="EH43" s="37">
        <v>186812681.96999982</v>
      </c>
      <c r="EI43" s="38">
        <v>7.4552989047178475E-3</v>
      </c>
      <c r="EJ43" s="49">
        <v>4050</v>
      </c>
      <c r="EK43" s="38">
        <v>1.4458812021163416E-2</v>
      </c>
      <c r="EL43" s="50">
        <v>339891750</v>
      </c>
      <c r="EM43" s="38">
        <v>7.9787752030855974E-3</v>
      </c>
    </row>
    <row r="44" spans="4:143" x14ac:dyDescent="0.25">
      <c r="D44"/>
      <c r="F44" s="21"/>
      <c r="G44" s="21"/>
      <c r="H44" s="21"/>
      <c r="V44"/>
      <c r="W44" s="13"/>
      <c r="X44" s="13"/>
      <c r="AO44"/>
      <c r="BG44"/>
      <c r="BK44"/>
      <c r="BL44" s="45"/>
      <c r="BY44"/>
      <c r="CC44" s="36" t="s">
        <v>187</v>
      </c>
      <c r="CD44" s="48">
        <v>1077482.94</v>
      </c>
      <c r="CE44" s="38">
        <v>4.3000064544462645E-5</v>
      </c>
      <c r="CF44" s="47">
        <v>6</v>
      </c>
      <c r="CG44" s="38">
        <v>2.1420462253575432E-5</v>
      </c>
      <c r="CH44" s="50">
        <v>1820000</v>
      </c>
      <c r="CI44" s="38">
        <v>4.2723516736183767E-5</v>
      </c>
      <c r="CJ44" s="13"/>
      <c r="DL44" s="20"/>
      <c r="DM44" s="27"/>
      <c r="DN44" s="23"/>
      <c r="DO44" s="23"/>
      <c r="DP44" s="23"/>
      <c r="DQ44" s="17"/>
      <c r="DR44" s="21"/>
      <c r="DS44" s="21"/>
      <c r="EG44" s="36" t="s">
        <v>255</v>
      </c>
      <c r="EH44" s="37">
        <v>65646886.799999982</v>
      </c>
      <c r="EI44" s="38">
        <v>2.6198283654895104E-3</v>
      </c>
      <c r="EJ44" s="49">
        <v>1089</v>
      </c>
      <c r="EK44" s="38">
        <v>3.8878138990239407E-3</v>
      </c>
      <c r="EL44" s="50">
        <v>105392520</v>
      </c>
      <c r="EM44" s="38">
        <v>2.4740324681805396E-3</v>
      </c>
    </row>
    <row r="45" spans="4:143" x14ac:dyDescent="0.25">
      <c r="D45"/>
      <c r="F45" s="21"/>
      <c r="G45" s="21"/>
      <c r="H45" s="21"/>
      <c r="V45"/>
      <c r="W45" s="13"/>
      <c r="X45" s="13"/>
      <c r="AO45"/>
      <c r="BG45"/>
      <c r="BK45"/>
      <c r="BL45" s="45"/>
      <c r="BY45"/>
      <c r="CC45" s="36" t="s">
        <v>188</v>
      </c>
      <c r="CD45" s="48">
        <v>161149229.15999994</v>
      </c>
      <c r="CE45" s="38">
        <v>6.4311247982918405E-3</v>
      </c>
      <c r="CF45" s="47">
        <v>426</v>
      </c>
      <c r="CG45" s="38">
        <v>1.5208528200038557E-3</v>
      </c>
      <c r="CH45" s="50">
        <v>222784000</v>
      </c>
      <c r="CI45" s="38">
        <v>5.2297340398648152E-3</v>
      </c>
      <c r="CJ45" s="13"/>
      <c r="DL45" s="20"/>
      <c r="DM45" s="27"/>
      <c r="DN45" s="23"/>
      <c r="DO45" s="23"/>
      <c r="DP45" s="23"/>
      <c r="DQ45" s="17"/>
      <c r="DR45" s="21"/>
      <c r="DS45" s="21"/>
      <c r="EG45" s="36" t="s">
        <v>256</v>
      </c>
      <c r="EH45" s="37">
        <v>18486335.369999997</v>
      </c>
      <c r="EI45" s="38">
        <v>7.3775053375841173E-4</v>
      </c>
      <c r="EJ45" s="49">
        <v>432</v>
      </c>
      <c r="EK45" s="38">
        <v>1.542273282257431E-3</v>
      </c>
      <c r="EL45" s="50">
        <v>36470700</v>
      </c>
      <c r="EM45" s="38">
        <v>8.5612997902765784E-4</v>
      </c>
    </row>
    <row r="46" spans="4:143" x14ac:dyDescent="0.25">
      <c r="D46"/>
      <c r="F46" s="21"/>
      <c r="G46" s="21"/>
      <c r="H46" s="21"/>
      <c r="V46"/>
      <c r="W46" s="13"/>
      <c r="X46" s="13"/>
      <c r="AO46"/>
      <c r="BG46"/>
      <c r="BK46"/>
      <c r="BL46" s="45"/>
      <c r="BY46"/>
      <c r="CC46" s="36" t="s">
        <v>189</v>
      </c>
      <c r="CD46" s="48">
        <v>44837159.100000009</v>
      </c>
      <c r="CE46" s="38">
        <v>1.7893561593563061E-3</v>
      </c>
      <c r="CF46" s="47">
        <v>148</v>
      </c>
      <c r="CG46" s="38">
        <v>5.2837140225486063E-4</v>
      </c>
      <c r="CH46" s="50">
        <v>61318000</v>
      </c>
      <c r="CI46" s="38">
        <v>1.4394069226534704E-3</v>
      </c>
      <c r="CJ46" s="13"/>
      <c r="DL46" s="20"/>
      <c r="DM46" s="27"/>
      <c r="DN46" s="23"/>
      <c r="DO46" s="23"/>
      <c r="DP46" s="23"/>
      <c r="DQ46" s="17"/>
      <c r="DR46" s="21"/>
      <c r="DS46" s="21"/>
      <c r="EG46" s="36" t="s">
        <v>257</v>
      </c>
      <c r="EH46" s="37">
        <v>2876074.9199999995</v>
      </c>
      <c r="EI46" s="38">
        <v>1.1477806525151128E-4</v>
      </c>
      <c r="EJ46" s="49">
        <v>54</v>
      </c>
      <c r="EK46" s="38">
        <v>1.9278416028217888E-4</v>
      </c>
      <c r="EL46" s="50">
        <v>4672500</v>
      </c>
      <c r="EM46" s="38">
        <v>1.0968441315924101E-4</v>
      </c>
    </row>
    <row r="47" spans="4:143" x14ac:dyDescent="0.25">
      <c r="D47"/>
      <c r="F47" s="21"/>
      <c r="G47" s="21"/>
      <c r="H47" s="21"/>
      <c r="V47"/>
      <c r="W47" s="13"/>
      <c r="X47" s="13"/>
      <c r="AO47"/>
      <c r="BG47"/>
      <c r="BK47"/>
      <c r="BL47" s="45"/>
      <c r="BY47"/>
      <c r="CC47" s="36" t="s">
        <v>190</v>
      </c>
      <c r="CD47" s="48">
        <v>2468850.62</v>
      </c>
      <c r="CE47" s="38">
        <v>9.8526604987951485E-5</v>
      </c>
      <c r="CF47" s="47">
        <v>8</v>
      </c>
      <c r="CG47" s="38">
        <v>2.8560616338100576E-5</v>
      </c>
      <c r="CH47" s="50">
        <v>4640000</v>
      </c>
      <c r="CI47" s="38">
        <v>1.0892149321752345E-4</v>
      </c>
      <c r="CJ47" s="13"/>
      <c r="DL47" s="20"/>
      <c r="DM47" s="27"/>
      <c r="DN47" s="23"/>
      <c r="DO47" s="23"/>
      <c r="DP47" s="23"/>
      <c r="DQ47" s="17"/>
      <c r="DR47" s="21"/>
      <c r="DS47" s="21"/>
      <c r="EG47" s="36" t="s">
        <v>258</v>
      </c>
      <c r="EH47" s="37">
        <v>299000.01</v>
      </c>
      <c r="EI47" s="38">
        <v>1.1932457815800756E-5</v>
      </c>
      <c r="EJ47" s="49">
        <v>6</v>
      </c>
      <c r="EK47" s="38">
        <v>2.1420462253575432E-5</v>
      </c>
      <c r="EL47" s="50">
        <v>312000</v>
      </c>
      <c r="EM47" s="38">
        <v>7.3240314404886451E-6</v>
      </c>
    </row>
    <row r="48" spans="4:143" x14ac:dyDescent="0.25">
      <c r="D48"/>
      <c r="V48"/>
      <c r="W48" s="13"/>
      <c r="X48" s="13"/>
      <c r="AO48"/>
      <c r="BG48"/>
      <c r="BK48"/>
      <c r="BL48" s="45"/>
      <c r="BY48"/>
      <c r="CC48" s="36" t="s">
        <v>191</v>
      </c>
      <c r="CD48" s="48">
        <v>773274235.78000164</v>
      </c>
      <c r="CE48" s="38">
        <v>3.0859738762184112E-2</v>
      </c>
      <c r="CF48" s="47">
        <v>2972</v>
      </c>
      <c r="CG48" s="38">
        <v>1.0610268969604365E-2</v>
      </c>
      <c r="CH48" s="50">
        <v>1101189600</v>
      </c>
      <c r="CI48" s="38">
        <v>2.5849830936984342E-2</v>
      </c>
      <c r="CJ48" s="13"/>
      <c r="CV48" s="9"/>
      <c r="DD48" s="16"/>
      <c r="DE48" s="15"/>
      <c r="DL48" s="20"/>
      <c r="DM48" s="27"/>
      <c r="DN48" s="23"/>
      <c r="DO48" s="23"/>
      <c r="DP48" s="23"/>
      <c r="DQ48" s="17"/>
      <c r="DR48" s="21"/>
      <c r="DS48" s="21"/>
      <c r="EG48" s="36" t="s">
        <v>259</v>
      </c>
      <c r="EH48" s="37">
        <v>235749.99</v>
      </c>
      <c r="EI48" s="38">
        <v>9.4082833333365107E-6</v>
      </c>
      <c r="EJ48" s="49">
        <v>3</v>
      </c>
      <c r="EK48" s="38">
        <v>1.0710231126787716E-5</v>
      </c>
      <c r="EL48" s="50">
        <v>246000</v>
      </c>
      <c r="EM48" s="38">
        <v>5.7747170973083552E-6</v>
      </c>
    </row>
    <row r="49" spans="22:143" x14ac:dyDescent="0.25">
      <c r="V49"/>
      <c r="W49" s="13"/>
      <c r="X49" s="13"/>
      <c r="AO49"/>
      <c r="BG49"/>
      <c r="BK49"/>
      <c r="BL49" s="45"/>
      <c r="BY49"/>
      <c r="CC49" s="36" t="s">
        <v>192</v>
      </c>
      <c r="CD49" s="48">
        <v>560846242.58000088</v>
      </c>
      <c r="CE49" s="38">
        <v>2.238218697964665E-2</v>
      </c>
      <c r="CF49" s="47">
        <v>1538</v>
      </c>
      <c r="CG49" s="38">
        <v>5.4907784909998354E-3</v>
      </c>
      <c r="CH49" s="50">
        <v>778532000</v>
      </c>
      <c r="CI49" s="38">
        <v>1.8275618094315726E-2</v>
      </c>
      <c r="CJ49" s="13"/>
      <c r="CK49" s="21"/>
      <c r="CL49" s="21"/>
      <c r="CV49" s="16"/>
      <c r="CW49" s="15"/>
      <c r="DD49" s="16"/>
      <c r="DE49" s="15"/>
      <c r="DL49" s="20"/>
      <c r="DM49" s="27"/>
      <c r="DN49" s="23"/>
      <c r="DO49" s="23"/>
      <c r="DP49" s="23"/>
      <c r="DQ49" s="17"/>
      <c r="DR49" s="21"/>
      <c r="DS49" s="21"/>
      <c r="EG49" s="36" t="s">
        <v>260</v>
      </c>
      <c r="EH49" s="37">
        <v>118833.42</v>
      </c>
      <c r="EI49" s="38">
        <v>4.7423903807138132E-6</v>
      </c>
      <c r="EJ49" s="49">
        <v>3</v>
      </c>
      <c r="EK49" s="38">
        <v>1.0710231126787716E-5</v>
      </c>
      <c r="EL49" s="50">
        <v>186000</v>
      </c>
      <c r="EM49" s="38">
        <v>4.3662495125990004E-6</v>
      </c>
    </row>
    <row r="50" spans="22:143" x14ac:dyDescent="0.25">
      <c r="V50"/>
      <c r="W50" s="13"/>
      <c r="X50" s="13"/>
      <c r="AO50"/>
      <c r="BG50"/>
      <c r="BK50"/>
      <c r="BL50" s="45"/>
      <c r="BY50"/>
      <c r="CC50" s="36" t="s">
        <v>193</v>
      </c>
      <c r="CD50" s="48">
        <v>14420747.539999999</v>
      </c>
      <c r="CE50" s="38">
        <v>5.7550152487741558E-4</v>
      </c>
      <c r="CF50" s="47">
        <v>66</v>
      </c>
      <c r="CG50" s="38">
        <v>2.3562508478932974E-4</v>
      </c>
      <c r="CH50" s="50">
        <v>28846000</v>
      </c>
      <c r="CI50" s="38">
        <v>6.7714426580876754E-4</v>
      </c>
      <c r="CJ50" s="13"/>
      <c r="CK50" s="21"/>
      <c r="CL50" s="21"/>
      <c r="CV50" s="16"/>
      <c r="CW50" s="15"/>
      <c r="DD50" s="16"/>
      <c r="DE50" s="15"/>
      <c r="DL50" s="20"/>
      <c r="DM50" s="27"/>
      <c r="DN50" s="23"/>
      <c r="DO50" s="23"/>
      <c r="DP50" s="23"/>
      <c r="DQ50" s="17"/>
      <c r="DR50" s="21"/>
      <c r="DS50" s="21"/>
      <c r="EG50" s="36" t="s">
        <v>261</v>
      </c>
      <c r="EH50" s="37">
        <v>38366001.510000005</v>
      </c>
      <c r="EI50" s="38">
        <v>1.5311059507289754E-3</v>
      </c>
      <c r="EJ50" s="49">
        <v>126</v>
      </c>
      <c r="EK50" s="38">
        <v>4.4982970732508409E-4</v>
      </c>
      <c r="EL50" s="50">
        <v>61524000</v>
      </c>
      <c r="EM50" s="38">
        <v>1.4442426613609724E-3</v>
      </c>
    </row>
    <row r="51" spans="22:143" x14ac:dyDescent="0.25">
      <c r="V51"/>
      <c r="W51" s="13"/>
      <c r="X51" s="13"/>
      <c r="AO51"/>
      <c r="BG51"/>
      <c r="BK51"/>
      <c r="BL51" s="45"/>
      <c r="BY51"/>
      <c r="CC51" s="36" t="s">
        <v>194</v>
      </c>
      <c r="CD51" s="48">
        <v>24287198.999999993</v>
      </c>
      <c r="CE51" s="38">
        <v>9.6925072855836431E-4</v>
      </c>
      <c r="CF51" s="47">
        <v>126</v>
      </c>
      <c r="CG51" s="38">
        <v>4.4982970732508409E-4</v>
      </c>
      <c r="CH51" s="50">
        <v>34284000</v>
      </c>
      <c r="CI51" s="38">
        <v>8.0479837790292533E-4</v>
      </c>
      <c r="CJ51" s="13"/>
      <c r="CK51" s="21"/>
      <c r="CL51" s="21"/>
      <c r="CV51" s="16"/>
      <c r="CW51" s="15"/>
      <c r="DD51" s="16"/>
      <c r="DE51" s="15"/>
      <c r="DL51" s="20"/>
      <c r="DM51" s="27"/>
      <c r="DN51" s="23"/>
      <c r="DO51" s="23"/>
      <c r="DP51" s="23"/>
      <c r="DQ51" s="17"/>
      <c r="DR51" s="21"/>
      <c r="DS51" s="21"/>
      <c r="EG51" s="36" t="s">
        <v>262</v>
      </c>
      <c r="EH51" s="37">
        <v>8731090.709999999</v>
      </c>
      <c r="EI51" s="38">
        <v>3.4843935818933537E-4</v>
      </c>
      <c r="EJ51" s="49">
        <v>120</v>
      </c>
      <c r="EK51" s="38">
        <v>4.2840924507150864E-4</v>
      </c>
      <c r="EL51" s="50">
        <v>21090765</v>
      </c>
      <c r="EM51" s="38">
        <v>4.9509431398704325E-4</v>
      </c>
    </row>
    <row r="52" spans="22:143" x14ac:dyDescent="0.25">
      <c r="V52"/>
      <c r="W52" s="13"/>
      <c r="X52" s="13"/>
      <c r="AO52"/>
      <c r="BG52"/>
      <c r="BK52"/>
      <c r="BL52" s="45"/>
      <c r="BY52"/>
      <c r="CC52" s="36" t="s">
        <v>195</v>
      </c>
      <c r="CD52" s="48">
        <v>11195833.180000002</v>
      </c>
      <c r="CE52" s="38">
        <v>4.4680201560224849E-4</v>
      </c>
      <c r="CF52" s="47">
        <v>40</v>
      </c>
      <c r="CG52" s="38">
        <v>1.4280308169050288E-4</v>
      </c>
      <c r="CH52" s="50">
        <v>15972000</v>
      </c>
      <c r="CI52" s="38">
        <v>3.7493407104963026E-4</v>
      </c>
      <c r="CJ52" s="13"/>
      <c r="CK52" s="21"/>
      <c r="CL52" s="21"/>
      <c r="CV52" s="16"/>
      <c r="CW52" s="15"/>
      <c r="DD52" s="16"/>
      <c r="DE52" s="15"/>
      <c r="DL52" s="20"/>
      <c r="DM52" s="27"/>
      <c r="DN52" s="23"/>
      <c r="DO52" s="23"/>
      <c r="DP52" s="23"/>
      <c r="DQ52" s="17"/>
      <c r="DR52" s="21"/>
      <c r="DS52" s="21"/>
      <c r="EG52" s="36" t="s">
        <v>263</v>
      </c>
      <c r="EH52" s="37">
        <v>3312240.1799999997</v>
      </c>
      <c r="EI52" s="38">
        <v>1.3218449799934891E-4</v>
      </c>
      <c r="EJ52" s="49">
        <v>120</v>
      </c>
      <c r="EK52" s="38">
        <v>4.2840924507150864E-4</v>
      </c>
      <c r="EL52" s="50">
        <v>6605700</v>
      </c>
      <c r="EM52" s="38">
        <v>1.5506523873857643E-4</v>
      </c>
    </row>
    <row r="53" spans="22:143" x14ac:dyDescent="0.25">
      <c r="V53"/>
      <c r="W53" s="13"/>
      <c r="X53" s="13"/>
      <c r="AO53"/>
      <c r="BG53"/>
      <c r="BK53"/>
      <c r="BL53" s="45"/>
      <c r="BY53"/>
      <c r="CC53" s="36" t="s">
        <v>196</v>
      </c>
      <c r="CD53" s="48">
        <v>33096302.119999994</v>
      </c>
      <c r="CE53" s="38">
        <v>1.3208033969828198E-3</v>
      </c>
      <c r="CF53" s="47">
        <v>130</v>
      </c>
      <c r="CG53" s="38">
        <v>4.6411001549413435E-4</v>
      </c>
      <c r="CH53" s="50">
        <v>50342000</v>
      </c>
      <c r="CI53" s="38">
        <v>1.1817512524906391E-3</v>
      </c>
      <c r="CJ53" s="13"/>
      <c r="CK53" s="21"/>
      <c r="CL53" s="21"/>
      <c r="DL53" s="20"/>
      <c r="DM53" s="27"/>
      <c r="DN53" s="23"/>
      <c r="DO53" s="23"/>
      <c r="DP53" s="23"/>
      <c r="DQ53" s="17"/>
      <c r="DR53" s="21"/>
      <c r="DS53" s="21"/>
      <c r="EG53" s="36" t="s">
        <v>264</v>
      </c>
      <c r="EH53" s="37">
        <v>410069715.2700001</v>
      </c>
      <c r="EI53" s="38">
        <v>1.6365014767045338E-2</v>
      </c>
      <c r="EJ53" s="49">
        <v>4131</v>
      </c>
      <c r="EK53" s="38">
        <v>1.4747988261586685E-2</v>
      </c>
      <c r="EL53" s="50">
        <v>738431220</v>
      </c>
      <c r="EM53" s="38">
        <v>1.733427394845637E-2</v>
      </c>
    </row>
    <row r="54" spans="22:143" x14ac:dyDescent="0.25">
      <c r="V54"/>
      <c r="W54" s="13"/>
      <c r="X54" s="13"/>
      <c r="BG54"/>
      <c r="BK54"/>
      <c r="BL54" s="45"/>
      <c r="BY54"/>
      <c r="CC54" s="36" t="s">
        <v>197</v>
      </c>
      <c r="CD54" s="48">
        <v>27920383.120000008</v>
      </c>
      <c r="CE54" s="38">
        <v>1.1142434201938506E-3</v>
      </c>
      <c r="CF54" s="47">
        <v>132</v>
      </c>
      <c r="CG54" s="38">
        <v>4.7125016957865948E-4</v>
      </c>
      <c r="CH54" s="50">
        <v>38316000</v>
      </c>
      <c r="CI54" s="38">
        <v>8.9944739959539404E-4</v>
      </c>
      <c r="CJ54" s="13"/>
      <c r="CK54" s="21"/>
      <c r="CL54" s="21"/>
      <c r="CV54" s="29"/>
      <c r="CW54" s="20"/>
      <c r="CX54" s="23"/>
      <c r="CY54" s="23"/>
      <c r="CZ54" s="23"/>
      <c r="DA54" s="20"/>
      <c r="DB54" s="20"/>
      <c r="DD54" s="29"/>
      <c r="DE54" s="20"/>
      <c r="DF54" s="23"/>
      <c r="DG54" s="23"/>
      <c r="DH54" s="23"/>
      <c r="DI54" s="20"/>
      <c r="DJ54" s="20"/>
      <c r="DL54" s="20"/>
      <c r="DM54" s="27"/>
      <c r="DN54" s="23"/>
      <c r="DO54" s="23"/>
      <c r="DP54" s="23"/>
      <c r="DQ54" s="17"/>
      <c r="DR54" s="21"/>
      <c r="DS54" s="21"/>
      <c r="EG54" s="36" t="s">
        <v>265</v>
      </c>
      <c r="EH54" s="37">
        <v>73197736.230000004</v>
      </c>
      <c r="EI54" s="38">
        <v>2.9211667911870163E-3</v>
      </c>
      <c r="EJ54" s="49">
        <v>564</v>
      </c>
      <c r="EK54" s="38">
        <v>2.0135234518360908E-3</v>
      </c>
      <c r="EL54" s="50">
        <v>141701100</v>
      </c>
      <c r="EM54" s="38">
        <v>3.3263567677943129E-3</v>
      </c>
    </row>
    <row r="55" spans="22:143" x14ac:dyDescent="0.25">
      <c r="V55"/>
      <c r="W55" s="13"/>
      <c r="X55" s="13"/>
      <c r="BG55"/>
      <c r="BK55"/>
      <c r="BL55" s="45"/>
      <c r="BY55"/>
      <c r="CC55" s="36" t="s">
        <v>198</v>
      </c>
      <c r="CD55" s="48">
        <v>57975834.620000012</v>
      </c>
      <c r="CE55" s="38">
        <v>2.313692902348034E-3</v>
      </c>
      <c r="CF55" s="47">
        <v>178</v>
      </c>
      <c r="CG55" s="38">
        <v>6.3547371352273786E-4</v>
      </c>
      <c r="CH55" s="50">
        <v>65202000</v>
      </c>
      <c r="CI55" s="38">
        <v>1.5305817243036559E-3</v>
      </c>
      <c r="CJ55" s="13"/>
      <c r="CK55" s="21"/>
      <c r="CL55" s="21"/>
      <c r="CV55" s="20"/>
      <c r="CW55" s="27"/>
      <c r="CX55" s="23"/>
      <c r="CY55" s="23"/>
      <c r="CZ55" s="23"/>
      <c r="DA55" s="30"/>
      <c r="DB55" s="30"/>
      <c r="DD55" s="20"/>
      <c r="DE55" s="22"/>
      <c r="DF55" s="17"/>
      <c r="DG55" s="17"/>
      <c r="DH55" s="17"/>
      <c r="DI55" s="21"/>
      <c r="DJ55" s="21"/>
      <c r="DL55" s="20"/>
      <c r="DM55" s="27"/>
      <c r="DN55" s="23"/>
      <c r="DO55" s="23"/>
      <c r="DP55" s="23"/>
      <c r="DQ55" s="17"/>
      <c r="DR55" s="21"/>
      <c r="DS55" s="21"/>
      <c r="EG55" s="36" t="s">
        <v>266</v>
      </c>
      <c r="EH55" s="37">
        <v>95916.479999999996</v>
      </c>
      <c r="EI55" s="38">
        <v>3.8278237898389936E-6</v>
      </c>
      <c r="EJ55" s="49">
        <v>6</v>
      </c>
      <c r="EK55" s="38">
        <v>2.1420462253575432E-5</v>
      </c>
      <c r="EL55" s="50">
        <v>249000</v>
      </c>
      <c r="EM55" s="38">
        <v>5.8451404765438223E-6</v>
      </c>
    </row>
    <row r="56" spans="22:143" x14ac:dyDescent="0.25">
      <c r="V56"/>
      <c r="W56" s="13"/>
      <c r="X56" s="13"/>
      <c r="BG56"/>
      <c r="BK56"/>
      <c r="BL56" s="45"/>
      <c r="BY56"/>
      <c r="CC56" s="36" t="s">
        <v>199</v>
      </c>
      <c r="CD56" s="48">
        <v>3596985.62</v>
      </c>
      <c r="CE56" s="38">
        <v>1.4354808608431794E-4</v>
      </c>
      <c r="CF56" s="47">
        <v>14</v>
      </c>
      <c r="CG56" s="38">
        <v>4.9981078591676008E-5</v>
      </c>
      <c r="CH56" s="50">
        <v>6000000</v>
      </c>
      <c r="CI56" s="38">
        <v>1.408467584709355E-4</v>
      </c>
      <c r="CJ56" s="13"/>
      <c r="CK56" s="21"/>
      <c r="CL56" s="21"/>
      <c r="CV56" s="20"/>
      <c r="CW56" s="27"/>
      <c r="CX56" s="23"/>
      <c r="CY56" s="23"/>
      <c r="CZ56" s="23"/>
      <c r="DA56" s="30"/>
      <c r="DB56" s="30"/>
      <c r="DD56" s="20"/>
      <c r="DE56" s="22"/>
      <c r="DF56" s="17"/>
      <c r="DG56" s="17"/>
      <c r="DH56" s="17"/>
      <c r="DI56" s="21"/>
      <c r="DJ56" s="21"/>
      <c r="DL56" s="20"/>
      <c r="DM56" s="27"/>
      <c r="DN56" s="23"/>
      <c r="DO56" s="23"/>
      <c r="DP56" s="23"/>
      <c r="DQ56" s="17"/>
      <c r="DR56" s="21"/>
      <c r="DS56" s="21"/>
      <c r="EG56" s="36" t="s">
        <v>267</v>
      </c>
      <c r="EH56" s="37">
        <v>909478154.06999874</v>
      </c>
      <c r="EI56" s="38">
        <v>3.6295348979528796E-2</v>
      </c>
      <c r="EJ56" s="49">
        <v>20532</v>
      </c>
      <c r="EK56" s="38">
        <v>7.3300821831735127E-2</v>
      </c>
      <c r="EL56" s="50">
        <v>1808670417</v>
      </c>
      <c r="EM56" s="38">
        <v>4.2457560896120863E-2</v>
      </c>
    </row>
    <row r="57" spans="22:143" x14ac:dyDescent="0.25">
      <c r="V57"/>
      <c r="W57" s="13"/>
      <c r="X57" s="13"/>
      <c r="BG57"/>
      <c r="BK57"/>
      <c r="BL57" s="45"/>
      <c r="BY57"/>
      <c r="CC57" s="36" t="s">
        <v>200</v>
      </c>
      <c r="CD57" s="48">
        <v>2079232.02</v>
      </c>
      <c r="CE57" s="38">
        <v>8.2977750963661158E-5</v>
      </c>
      <c r="CF57" s="47">
        <v>12</v>
      </c>
      <c r="CG57" s="38">
        <v>4.2840924507150864E-5</v>
      </c>
      <c r="CH57" s="50">
        <v>3600000</v>
      </c>
      <c r="CI57" s="38">
        <v>8.4508055082561286E-5</v>
      </c>
      <c r="CJ57" s="13"/>
      <c r="CK57" s="21"/>
      <c r="CL57" s="21"/>
      <c r="CV57" s="20"/>
      <c r="CW57" s="27"/>
      <c r="CX57" s="23"/>
      <c r="CY57" s="23"/>
      <c r="CZ57" s="23"/>
      <c r="DA57" s="30"/>
      <c r="DB57" s="30"/>
      <c r="DD57" s="20"/>
      <c r="DE57" s="22"/>
      <c r="DF57" s="17"/>
      <c r="DG57" s="17"/>
      <c r="DH57" s="17"/>
      <c r="DI57" s="21"/>
      <c r="DJ57" s="21"/>
      <c r="DL57" s="20"/>
      <c r="DM57" s="27"/>
      <c r="DN57" s="23"/>
      <c r="DO57" s="23"/>
      <c r="DP57" s="23"/>
      <c r="DQ57" s="17"/>
      <c r="DR57" s="21"/>
      <c r="DS57" s="21"/>
      <c r="EG57" s="36" t="s">
        <v>268</v>
      </c>
      <c r="EH57" s="37">
        <v>563249.97</v>
      </c>
      <c r="EI57" s="38">
        <v>2.2478114655501321E-5</v>
      </c>
      <c r="EJ57" s="49">
        <v>24</v>
      </c>
      <c r="EK57" s="38">
        <v>8.5681849014301729E-5</v>
      </c>
      <c r="EL57" s="50">
        <v>945000</v>
      </c>
      <c r="EM57" s="38">
        <v>2.2183364459172339E-5</v>
      </c>
    </row>
    <row r="58" spans="22:143" x14ac:dyDescent="0.25">
      <c r="V58"/>
      <c r="W58" s="13"/>
      <c r="X58" s="13"/>
      <c r="BG58"/>
      <c r="BK58"/>
      <c r="BL58" s="45"/>
      <c r="BY58"/>
      <c r="CC58" s="36" t="s">
        <v>201</v>
      </c>
      <c r="CD58" s="48">
        <v>3580231.3400000003</v>
      </c>
      <c r="CE58" s="38">
        <v>1.4287945821593056E-4</v>
      </c>
      <c r="CF58" s="47">
        <v>14</v>
      </c>
      <c r="CG58" s="38">
        <v>4.9981078591676008E-5</v>
      </c>
      <c r="CH58" s="50">
        <v>5768000</v>
      </c>
      <c r="CI58" s="38">
        <v>1.3540068381005931E-4</v>
      </c>
      <c r="CJ58" s="13"/>
      <c r="CK58" s="21"/>
      <c r="CL58" s="21"/>
      <c r="CV58" s="20"/>
      <c r="CW58" s="27"/>
      <c r="CX58" s="23"/>
      <c r="CY58" s="23"/>
      <c r="CZ58" s="23"/>
      <c r="DA58" s="30"/>
      <c r="DB58" s="30"/>
      <c r="DD58" s="20"/>
      <c r="DE58" s="22"/>
      <c r="DF58" s="17"/>
      <c r="DG58" s="17"/>
      <c r="DH58" s="17"/>
      <c r="DI58" s="21"/>
      <c r="DJ58" s="21"/>
      <c r="DL58" s="20"/>
      <c r="DM58" s="27"/>
      <c r="DN58" s="23"/>
      <c r="DO58" s="23"/>
      <c r="DP58" s="23"/>
      <c r="DQ58" s="17"/>
      <c r="DR58" s="21"/>
      <c r="DS58" s="21"/>
      <c r="EG58" s="36" t="s">
        <v>269</v>
      </c>
      <c r="EH58" s="37">
        <v>77896596.570000023</v>
      </c>
      <c r="EI58" s="38">
        <v>3.1086883661508077E-3</v>
      </c>
      <c r="EJ58" s="49">
        <v>2190</v>
      </c>
      <c r="EK58" s="38">
        <v>7.8184687225550335E-3</v>
      </c>
      <c r="EL58" s="50">
        <v>128995680</v>
      </c>
      <c r="EM58" s="38">
        <v>3.0281038974590137E-3</v>
      </c>
    </row>
    <row r="59" spans="22:143" x14ac:dyDescent="0.25">
      <c r="V59"/>
      <c r="W59" s="13"/>
      <c r="X59" s="13"/>
      <c r="BG59"/>
      <c r="BK59"/>
      <c r="BL59" s="45"/>
      <c r="BY59"/>
      <c r="CC59" s="36" t="s">
        <v>202</v>
      </c>
      <c r="CD59" s="48">
        <v>53286297.359999985</v>
      </c>
      <c r="CE59" s="38">
        <v>2.1265433917825455E-3</v>
      </c>
      <c r="CF59" s="47">
        <v>58</v>
      </c>
      <c r="CG59" s="38">
        <v>2.0706446845122916E-4</v>
      </c>
      <c r="CH59" s="50">
        <v>60992000</v>
      </c>
      <c r="CI59" s="38">
        <v>1.4317542487765494E-3</v>
      </c>
      <c r="CJ59" s="13"/>
      <c r="CK59" s="21"/>
      <c r="CL59" s="21"/>
      <c r="CV59" s="20"/>
      <c r="CW59" s="27"/>
      <c r="CX59" s="23"/>
      <c r="CY59" s="23"/>
      <c r="CZ59" s="23"/>
      <c r="DA59" s="30"/>
      <c r="DB59" s="30"/>
      <c r="DD59" s="20"/>
      <c r="DE59" s="22"/>
      <c r="DF59" s="17"/>
      <c r="DG59" s="17"/>
      <c r="DH59" s="17"/>
      <c r="DI59" s="21"/>
      <c r="DJ59" s="21"/>
      <c r="DL59" s="20"/>
      <c r="DM59" s="27"/>
      <c r="DN59" s="23"/>
      <c r="DO59" s="23"/>
      <c r="DP59" s="23"/>
      <c r="DQ59" s="17"/>
      <c r="DR59" s="21"/>
      <c r="DS59" s="21"/>
      <c r="EG59" s="36" t="s">
        <v>270</v>
      </c>
      <c r="EH59" s="37">
        <v>93499.86</v>
      </c>
      <c r="EI59" s="38">
        <v>3.7313815983928445E-6</v>
      </c>
      <c r="EJ59" s="49">
        <v>3</v>
      </c>
      <c r="EK59" s="38">
        <v>1.0710231126787716E-5</v>
      </c>
      <c r="EL59" s="50">
        <v>153000</v>
      </c>
      <c r="EM59" s="38">
        <v>3.591592341008855E-6</v>
      </c>
    </row>
    <row r="60" spans="22:143" x14ac:dyDescent="0.25">
      <c r="V60"/>
      <c r="W60" s="13"/>
      <c r="X60" s="13"/>
      <c r="BG60"/>
      <c r="BK60"/>
      <c r="BL60" s="45"/>
      <c r="BY60"/>
      <c r="CC60" s="36" t="s">
        <v>203</v>
      </c>
      <c r="CD60" s="48">
        <v>483780.28</v>
      </c>
      <c r="CE60" s="38">
        <v>1.9306647458694996E-5</v>
      </c>
      <c r="CF60" s="47">
        <v>2</v>
      </c>
      <c r="CG60" s="38">
        <v>7.1401540845251441E-6</v>
      </c>
      <c r="CH60" s="50">
        <v>600000</v>
      </c>
      <c r="CI60" s="38">
        <v>1.4084675847093548E-5</v>
      </c>
      <c r="CJ60" s="13"/>
      <c r="CK60" s="21"/>
      <c r="CL60" s="21"/>
      <c r="CV60" s="20"/>
      <c r="CW60" s="27"/>
      <c r="CX60" s="23"/>
      <c r="CY60" s="23"/>
      <c r="CZ60" s="23"/>
      <c r="DA60" s="30"/>
      <c r="DB60" s="30"/>
      <c r="DD60" s="20"/>
      <c r="DE60" s="22"/>
      <c r="DF60" s="17"/>
      <c r="DG60" s="17"/>
      <c r="DH60" s="17"/>
      <c r="DI60" s="21"/>
      <c r="DJ60" s="21"/>
      <c r="DL60" s="20"/>
      <c r="DM60" s="27"/>
      <c r="DN60" s="23"/>
      <c r="DO60" s="23"/>
      <c r="DP60" s="23"/>
      <c r="DQ60" s="17"/>
      <c r="DR60" s="21"/>
      <c r="DS60" s="21"/>
      <c r="EG60" s="36" t="s">
        <v>271</v>
      </c>
      <c r="EH60" s="37">
        <v>1361916.8099999998</v>
      </c>
      <c r="EI60" s="38">
        <v>5.4351218529908852E-5</v>
      </c>
      <c r="EJ60" s="49">
        <v>30</v>
      </c>
      <c r="EK60" s="38">
        <v>1.0710231126787716E-4</v>
      </c>
      <c r="EL60" s="50">
        <v>2100000</v>
      </c>
      <c r="EM60" s="38">
        <v>4.9296365464827418E-5</v>
      </c>
    </row>
    <row r="61" spans="22:143" x14ac:dyDescent="0.25">
      <c r="V61"/>
      <c r="W61" s="13"/>
      <c r="X61" s="13"/>
      <c r="BG61"/>
      <c r="BK61"/>
      <c r="BL61" s="45"/>
      <c r="BY61"/>
      <c r="CC61" s="36" t="s">
        <v>204</v>
      </c>
      <c r="CD61" s="48">
        <v>17014023.440000001</v>
      </c>
      <c r="CE61" s="38">
        <v>6.7899367954818901E-4</v>
      </c>
      <c r="CF61" s="47">
        <v>24</v>
      </c>
      <c r="CG61" s="38">
        <v>8.5681849014301729E-5</v>
      </c>
      <c r="CH61" s="50">
        <v>19540000</v>
      </c>
      <c r="CI61" s="38">
        <v>4.5869094342034655E-4</v>
      </c>
      <c r="CJ61" s="13"/>
      <c r="CK61" s="21"/>
      <c r="CL61" s="21"/>
      <c r="CV61" s="20"/>
      <c r="CW61" s="27"/>
      <c r="CX61" s="23"/>
      <c r="CY61" s="23"/>
      <c r="CZ61" s="23"/>
      <c r="DA61" s="30"/>
      <c r="DB61" s="30"/>
      <c r="DD61" s="20"/>
      <c r="DE61" s="22"/>
      <c r="DF61" s="17"/>
      <c r="DG61" s="17"/>
      <c r="DH61" s="17"/>
      <c r="DI61" s="21"/>
      <c r="DJ61" s="21"/>
      <c r="DL61" s="20"/>
      <c r="DM61" s="27"/>
      <c r="DN61" s="23"/>
      <c r="DO61" s="23"/>
      <c r="DP61" s="23"/>
      <c r="DQ61" s="17"/>
      <c r="DR61" s="21"/>
      <c r="DS61" s="21"/>
      <c r="EG61" s="36" t="s">
        <v>96</v>
      </c>
      <c r="EH61" s="37">
        <v>289750.05</v>
      </c>
      <c r="EI61" s="38">
        <v>1.156331148200015E-5</v>
      </c>
      <c r="EJ61" s="49">
        <v>6</v>
      </c>
      <c r="EK61" s="38">
        <v>2.1420462253575432E-5</v>
      </c>
      <c r="EL61" s="50">
        <v>444000</v>
      </c>
      <c r="EM61" s="38">
        <v>1.0422660126849227E-5</v>
      </c>
    </row>
    <row r="62" spans="22:143" x14ac:dyDescent="0.25">
      <c r="V62"/>
      <c r="W62" s="13"/>
      <c r="X62" s="13"/>
      <c r="BG62"/>
      <c r="BK62"/>
      <c r="BL62" s="45"/>
      <c r="BY62"/>
      <c r="CC62" s="36" t="s">
        <v>205</v>
      </c>
      <c r="CD62" s="48">
        <v>530317445.67999953</v>
      </c>
      <c r="CE62" s="38">
        <v>2.116384728401783E-2</v>
      </c>
      <c r="CF62" s="47">
        <v>870</v>
      </c>
      <c r="CG62" s="38">
        <v>3.1059670267684376E-3</v>
      </c>
      <c r="CH62" s="50">
        <v>676374000</v>
      </c>
      <c r="CI62" s="38">
        <v>1.5877514235670086E-2</v>
      </c>
      <c r="CJ62" s="13"/>
      <c r="CK62" s="21"/>
      <c r="CL62" s="21"/>
      <c r="CV62" s="20"/>
      <c r="CW62" s="27"/>
      <c r="CX62" s="23"/>
      <c r="CY62" s="23"/>
      <c r="CZ62" s="23"/>
      <c r="DA62" s="30"/>
      <c r="DB62" s="30"/>
      <c r="DD62" s="20"/>
      <c r="DE62" s="22"/>
      <c r="DF62" s="17"/>
      <c r="DG62" s="17"/>
      <c r="DH62" s="17"/>
      <c r="DI62" s="21"/>
      <c r="DJ62" s="21"/>
      <c r="DL62" s="20"/>
      <c r="DM62" s="27"/>
      <c r="DN62" s="23"/>
      <c r="DO62" s="23"/>
      <c r="DP62" s="23"/>
      <c r="DQ62" s="17"/>
      <c r="DR62" s="21"/>
      <c r="DS62" s="21"/>
      <c r="EG62" s="36" t="s">
        <v>97</v>
      </c>
      <c r="EH62" s="37">
        <v>47372259.05999998</v>
      </c>
      <c r="EI62" s="38">
        <v>1.8905266353423699E-3</v>
      </c>
      <c r="EJ62" s="49">
        <v>438</v>
      </c>
      <c r="EK62" s="38">
        <v>1.5636937445110066E-3</v>
      </c>
      <c r="EL62" s="50">
        <v>114145800</v>
      </c>
      <c r="EM62" s="38">
        <v>2.6795109871786179E-3</v>
      </c>
    </row>
    <row r="63" spans="22:143" x14ac:dyDescent="0.25">
      <c r="V63"/>
      <c r="W63" s="13"/>
      <c r="X63" s="13"/>
      <c r="BG63"/>
      <c r="BK63"/>
      <c r="BL63" s="45"/>
      <c r="BY63"/>
      <c r="CC63" s="36" t="s">
        <v>206</v>
      </c>
      <c r="CD63" s="48">
        <v>77655925.38000001</v>
      </c>
      <c r="CE63" s="38">
        <v>3.0990836881370724E-3</v>
      </c>
      <c r="CF63" s="47">
        <v>324</v>
      </c>
      <c r="CG63" s="38">
        <v>1.1567049616930734E-3</v>
      </c>
      <c r="CH63" s="50">
        <v>126006000</v>
      </c>
      <c r="CI63" s="38">
        <v>2.957922774648116E-3</v>
      </c>
      <c r="CJ63" s="13"/>
      <c r="CK63" s="21"/>
      <c r="CL63" s="21"/>
      <c r="CV63" s="20"/>
      <c r="CW63" s="27"/>
      <c r="CX63" s="23"/>
      <c r="CY63" s="23"/>
      <c r="CZ63" s="23"/>
      <c r="DA63" s="30"/>
      <c r="DB63" s="30"/>
      <c r="DD63" s="20"/>
      <c r="DE63" s="22"/>
      <c r="DF63" s="17"/>
      <c r="DG63" s="17"/>
      <c r="DH63" s="17"/>
      <c r="DI63" s="21"/>
      <c r="DJ63" s="21"/>
      <c r="DL63" s="20"/>
      <c r="DM63" s="27"/>
      <c r="DN63" s="23"/>
      <c r="DO63" s="23"/>
      <c r="DP63" s="23"/>
      <c r="DQ63" s="17"/>
      <c r="DR63" s="21"/>
      <c r="DS63" s="21"/>
      <c r="EG63" s="36" t="s">
        <v>272</v>
      </c>
      <c r="EH63" s="37">
        <v>17487796.170000002</v>
      </c>
      <c r="EI63" s="38">
        <v>6.9790094685898856E-4</v>
      </c>
      <c r="EJ63" s="49">
        <v>681</v>
      </c>
      <c r="EK63" s="38">
        <v>2.4312224657808117E-3</v>
      </c>
      <c r="EL63" s="50">
        <v>35356500</v>
      </c>
      <c r="EM63" s="38">
        <v>8.2997473597960509E-4</v>
      </c>
    </row>
    <row r="64" spans="22:143" x14ac:dyDescent="0.25">
      <c r="V64"/>
      <c r="W64" s="13"/>
      <c r="X64" s="13"/>
      <c r="BG64"/>
      <c r="BK64"/>
      <c r="BL64" s="45"/>
      <c r="BY64"/>
      <c r="CC64" s="36" t="s">
        <v>207</v>
      </c>
      <c r="CD64" s="48">
        <v>15447174.439999998</v>
      </c>
      <c r="CE64" s="38">
        <v>6.1646405088285994E-4</v>
      </c>
      <c r="CF64" s="47">
        <v>40</v>
      </c>
      <c r="CG64" s="38">
        <v>1.4280308169050288E-4</v>
      </c>
      <c r="CH64" s="50">
        <v>22916000</v>
      </c>
      <c r="CI64" s="38">
        <v>5.3794071951999295E-4</v>
      </c>
      <c r="CJ64" s="13"/>
      <c r="CK64" s="21"/>
      <c r="CL64" s="21"/>
      <c r="CV64" s="20"/>
      <c r="CW64" s="27"/>
      <c r="CX64" s="23"/>
      <c r="CY64" s="23"/>
      <c r="CZ64" s="23"/>
      <c r="DA64" s="30"/>
      <c r="DB64" s="30"/>
      <c r="DL64" s="20"/>
      <c r="DM64" s="27"/>
      <c r="DN64" s="23"/>
      <c r="DO64" s="23"/>
      <c r="DP64" s="23"/>
      <c r="DQ64" s="17"/>
      <c r="DR64" s="21"/>
      <c r="DS64" s="21"/>
      <c r="EG64" s="36" t="s">
        <v>273</v>
      </c>
      <c r="EH64" s="37">
        <v>12778197.119999999</v>
      </c>
      <c r="EI64" s="38">
        <v>5.0995081269859051E-4</v>
      </c>
      <c r="EJ64" s="49">
        <v>222</v>
      </c>
      <c r="EK64" s="38">
        <v>7.9255710338229095E-4</v>
      </c>
      <c r="EL64" s="50">
        <v>20514600</v>
      </c>
      <c r="EM64" s="38">
        <v>4.815691518879755E-4</v>
      </c>
    </row>
    <row r="65" spans="22:143" x14ac:dyDescent="0.25">
      <c r="V65"/>
      <c r="W65" s="13"/>
      <c r="X65" s="13"/>
      <c r="BG65"/>
      <c r="BK65"/>
      <c r="BL65" s="45"/>
      <c r="BY65"/>
      <c r="CC65" s="36" t="s">
        <v>208</v>
      </c>
      <c r="CD65" s="48">
        <v>11946167.52</v>
      </c>
      <c r="CE65" s="38">
        <v>4.767462716569445E-4</v>
      </c>
      <c r="CF65" s="47">
        <v>32</v>
      </c>
      <c r="CG65" s="38">
        <v>1.142424653524023E-4</v>
      </c>
      <c r="CH65" s="50">
        <v>19994000</v>
      </c>
      <c r="CI65" s="38">
        <v>4.6934834814464735E-4</v>
      </c>
      <c r="CJ65" s="13"/>
      <c r="CK65" s="21"/>
      <c r="CL65" s="21"/>
      <c r="CV65" s="20"/>
      <c r="CW65" s="27"/>
      <c r="CX65" s="23"/>
      <c r="CY65" s="23"/>
      <c r="CZ65" s="23"/>
      <c r="DA65" s="30"/>
      <c r="DB65" s="30"/>
      <c r="DL65" s="20"/>
      <c r="DM65" s="27"/>
      <c r="DN65" s="23"/>
      <c r="DO65" s="23"/>
      <c r="DP65" s="23"/>
      <c r="DQ65" s="17"/>
      <c r="DR65" s="21"/>
      <c r="DS65" s="21"/>
      <c r="EG65" s="36" t="s">
        <v>274</v>
      </c>
      <c r="EH65" s="37">
        <v>253319936.4600001</v>
      </c>
      <c r="EI65" s="38">
        <v>1.0109462724467062E-2</v>
      </c>
      <c r="EJ65" s="49">
        <v>4224</v>
      </c>
      <c r="EK65" s="38">
        <v>1.5080005426517103E-2</v>
      </c>
      <c r="EL65" s="50">
        <v>460512570</v>
      </c>
      <c r="EM65" s="38">
        <v>1.0810283786603295E-2</v>
      </c>
    </row>
    <row r="66" spans="22:143" x14ac:dyDescent="0.25">
      <c r="V66"/>
      <c r="W66" s="13"/>
      <c r="X66" s="13"/>
      <c r="BG66"/>
      <c r="BK66"/>
      <c r="BL66" s="45"/>
      <c r="BV66" s="16"/>
      <c r="BW66" s="15"/>
      <c r="BX66" s="2"/>
      <c r="BY66" s="17"/>
      <c r="CC66" s="36" t="s">
        <v>209</v>
      </c>
      <c r="CD66" s="48">
        <v>20815846.680000003</v>
      </c>
      <c r="CE66" s="38">
        <v>8.3071640167930517E-4</v>
      </c>
      <c r="CF66" s="47">
        <v>80</v>
      </c>
      <c r="CG66" s="38">
        <v>2.8560616338100576E-4</v>
      </c>
      <c r="CH66" s="50">
        <v>32424000</v>
      </c>
      <c r="CI66" s="38">
        <v>7.6113588277693534E-4</v>
      </c>
      <c r="CJ66" s="13"/>
      <c r="CK66" s="21"/>
      <c r="CL66" s="21"/>
      <c r="DL66" s="20"/>
      <c r="DM66" s="27"/>
      <c r="DN66" s="23"/>
      <c r="DO66" s="23"/>
      <c r="DP66" s="23"/>
      <c r="DQ66" s="17"/>
      <c r="DR66" s="21"/>
      <c r="DS66" s="21"/>
      <c r="EG66" s="36" t="s">
        <v>275</v>
      </c>
      <c r="EH66" s="37">
        <v>12181891.379999999</v>
      </c>
      <c r="EI66" s="38">
        <v>4.861535121972633E-4</v>
      </c>
      <c r="EJ66" s="49">
        <v>246</v>
      </c>
      <c r="EK66" s="38">
        <v>8.7823895239659273E-4</v>
      </c>
      <c r="EL66" s="50">
        <v>19840200</v>
      </c>
      <c r="EM66" s="38">
        <v>4.6573797623584236E-4</v>
      </c>
    </row>
    <row r="67" spans="22:143" x14ac:dyDescent="0.25">
      <c r="V67"/>
      <c r="W67" s="13"/>
      <c r="X67" s="13"/>
      <c r="BG67"/>
      <c r="BK67"/>
      <c r="BL67" s="45"/>
      <c r="BV67" s="16"/>
      <c r="BW67" s="15"/>
      <c r="BX67" s="2"/>
      <c r="BY67" s="17"/>
      <c r="CC67" s="36" t="s">
        <v>116</v>
      </c>
      <c r="CD67" s="48">
        <v>105573946.8</v>
      </c>
      <c r="CE67" s="38">
        <v>4.2132328578804836E-3</v>
      </c>
      <c r="CF67" s="47">
        <v>416</v>
      </c>
      <c r="CG67" s="38">
        <v>1.48515204958123E-3</v>
      </c>
      <c r="CH67" s="50">
        <v>150510000</v>
      </c>
      <c r="CI67" s="38">
        <v>3.5331409362434167E-3</v>
      </c>
      <c r="CJ67" s="13"/>
      <c r="DL67" s="20"/>
      <c r="DM67" s="27"/>
      <c r="DN67" s="23"/>
      <c r="DO67" s="23"/>
      <c r="DP67" s="23"/>
      <c r="DQ67" s="17"/>
      <c r="DR67" s="21"/>
      <c r="DS67" s="21"/>
      <c r="EG67" s="36" t="s">
        <v>276</v>
      </c>
      <c r="EH67" s="37">
        <v>113750.09999999999</v>
      </c>
      <c r="EI67" s="38">
        <v>4.5395258341065523E-6</v>
      </c>
      <c r="EJ67" s="49">
        <v>3</v>
      </c>
      <c r="EK67" s="38">
        <v>1.0710231126787716E-5</v>
      </c>
      <c r="EL67" s="50">
        <v>157500</v>
      </c>
      <c r="EM67" s="38">
        <v>3.6972274098620565E-6</v>
      </c>
    </row>
    <row r="68" spans="22:143" x14ac:dyDescent="0.25">
      <c r="V68"/>
      <c r="W68" s="13"/>
      <c r="X68" s="13"/>
      <c r="BG68"/>
      <c r="BK68"/>
      <c r="BL68" s="45"/>
      <c r="BV68" s="2"/>
      <c r="BW68" s="2"/>
      <c r="BX68" s="2"/>
      <c r="BY68" s="17"/>
      <c r="CC68" s="36" t="s">
        <v>210</v>
      </c>
      <c r="CD68" s="48">
        <v>1765560.3599999999</v>
      </c>
      <c r="CE68" s="38">
        <v>7.0459778636629467E-5</v>
      </c>
      <c r="CF68" s="47">
        <v>10</v>
      </c>
      <c r="CG68" s="38">
        <v>3.570077042262572E-5</v>
      </c>
      <c r="CH68" s="50">
        <v>2520000</v>
      </c>
      <c r="CI68" s="38">
        <v>5.9155638557792904E-5</v>
      </c>
      <c r="CJ68" s="13"/>
      <c r="DL68" s="20"/>
      <c r="DM68" s="27"/>
      <c r="DN68" s="23"/>
      <c r="DO68" s="23"/>
      <c r="DP68" s="23"/>
      <c r="DQ68" s="17"/>
      <c r="DR68" s="21"/>
      <c r="DS68" s="21"/>
      <c r="EG68" s="36" t="s">
        <v>277</v>
      </c>
      <c r="EH68" s="37">
        <v>817113903.62999988</v>
      </c>
      <c r="EI68" s="38">
        <v>3.2609287156108314E-2</v>
      </c>
      <c r="EJ68" s="49">
        <v>17426</v>
      </c>
      <c r="EK68" s="38">
        <v>6.2212162538467577E-2</v>
      </c>
      <c r="EL68" s="50">
        <v>1611033480</v>
      </c>
      <c r="EM68" s="38">
        <v>3.7818140574358443E-2</v>
      </c>
    </row>
    <row r="69" spans="22:143" x14ac:dyDescent="0.25">
      <c r="V69"/>
      <c r="W69" s="13"/>
      <c r="X69" s="13"/>
      <c r="BG69"/>
      <c r="BK69"/>
      <c r="BL69" s="45"/>
      <c r="BV69" s="15"/>
      <c r="BW69" s="20"/>
      <c r="BX69" s="20"/>
      <c r="BY69" s="20"/>
      <c r="CC69" s="36" t="s">
        <v>211</v>
      </c>
      <c r="CD69" s="48">
        <v>4009000000</v>
      </c>
      <c r="CE69" s="38">
        <v>0.1599907083064821</v>
      </c>
      <c r="CF69" s="47">
        <v>139</v>
      </c>
      <c r="CG69" s="38">
        <v>4.9624070887449752E-4</v>
      </c>
      <c r="CH69" s="50">
        <v>4061000000</v>
      </c>
      <c r="CI69" s="38">
        <v>9.5329781025078164E-2</v>
      </c>
      <c r="CJ69" s="13"/>
      <c r="DL69" s="20"/>
      <c r="DM69" s="27"/>
      <c r="DN69" s="23"/>
      <c r="DO69" s="23"/>
      <c r="DP69" s="23"/>
      <c r="DQ69" s="17"/>
      <c r="DR69" s="21"/>
      <c r="DS69" s="21"/>
      <c r="EG69" s="36" t="s">
        <v>278</v>
      </c>
      <c r="EH69" s="37">
        <v>2139374.61</v>
      </c>
      <c r="EI69" s="38">
        <v>8.53779144891005E-5</v>
      </c>
      <c r="EJ69" s="49">
        <v>54</v>
      </c>
      <c r="EK69" s="38">
        <v>1.9278416028217888E-4</v>
      </c>
      <c r="EL69" s="50">
        <v>4557000</v>
      </c>
      <c r="EM69" s="38">
        <v>1.0697311305867551E-4</v>
      </c>
    </row>
    <row r="70" spans="22:143" x14ac:dyDescent="0.25">
      <c r="V70"/>
      <c r="W70" s="13"/>
      <c r="X70" s="13"/>
      <c r="BG70"/>
      <c r="BK70"/>
      <c r="BL70" s="45"/>
      <c r="BV70" s="15"/>
      <c r="BW70" s="20"/>
      <c r="BX70" s="20"/>
      <c r="BY70" s="20"/>
      <c r="CC70" s="36" t="s">
        <v>212</v>
      </c>
      <c r="CD70" s="48">
        <v>24534020.260000005</v>
      </c>
      <c r="CE70" s="38">
        <v>9.7910084285432355E-4</v>
      </c>
      <c r="CF70" s="47">
        <v>68</v>
      </c>
      <c r="CG70" s="38">
        <v>2.427652388738549E-4</v>
      </c>
      <c r="CH70" s="50">
        <v>38896000</v>
      </c>
      <c r="CI70" s="38">
        <v>9.1306258624758441E-4</v>
      </c>
      <c r="CJ70" s="13"/>
      <c r="DL70" s="20"/>
      <c r="DM70" s="27"/>
      <c r="DN70" s="23"/>
      <c r="DO70" s="23"/>
      <c r="DP70" s="23"/>
      <c r="DQ70" s="17"/>
      <c r="DR70" s="21"/>
      <c r="DS70" s="21"/>
      <c r="EG70" s="36" t="s">
        <v>279</v>
      </c>
      <c r="EH70" s="37">
        <v>260293821.30000004</v>
      </c>
      <c r="EI70" s="38">
        <v>1.0387775714040381E-2</v>
      </c>
      <c r="EJ70" s="49">
        <v>7539</v>
      </c>
      <c r="EK70" s="38">
        <v>2.6914810821617532E-2</v>
      </c>
      <c r="EL70" s="50">
        <v>609801210</v>
      </c>
      <c r="EM70" s="38">
        <v>1.4314753956692369E-2</v>
      </c>
    </row>
    <row r="71" spans="22:143" x14ac:dyDescent="0.25">
      <c r="V71"/>
      <c r="W71" s="13"/>
      <c r="X71" s="13"/>
      <c r="BG71"/>
      <c r="BK71"/>
      <c r="BL71" s="45"/>
      <c r="BV71" s="20"/>
      <c r="BW71" s="22"/>
      <c r="BX71" s="17"/>
      <c r="BY71" s="22"/>
      <c r="CC71" s="36" t="s">
        <v>213</v>
      </c>
      <c r="CD71" s="48">
        <v>38243752.779999994</v>
      </c>
      <c r="CE71" s="38">
        <v>1.5262272625518067E-3</v>
      </c>
      <c r="CF71" s="47">
        <v>194</v>
      </c>
      <c r="CG71" s="38">
        <v>6.9259494619893901E-4</v>
      </c>
      <c r="CH71" s="50">
        <v>55732000</v>
      </c>
      <c r="CI71" s="38">
        <v>1.3082785905170293E-3</v>
      </c>
      <c r="CJ71" s="13"/>
      <c r="EG71" s="36" t="s">
        <v>98</v>
      </c>
      <c r="EH71" s="37">
        <v>31485791.279999997</v>
      </c>
      <c r="EI71" s="38">
        <v>1.2565313166568364E-3</v>
      </c>
      <c r="EJ71" s="49">
        <v>213</v>
      </c>
      <c r="EK71" s="38">
        <v>7.6042641000192784E-4</v>
      </c>
      <c r="EL71" s="50">
        <v>71725200</v>
      </c>
      <c r="EM71" s="38">
        <v>1.683710320113257E-3</v>
      </c>
    </row>
    <row r="72" spans="22:143" x14ac:dyDescent="0.25">
      <c r="V72"/>
      <c r="W72" s="13"/>
      <c r="X72" s="13"/>
      <c r="BG72"/>
      <c r="BK72"/>
      <c r="BL72" s="45"/>
      <c r="BV72" s="20"/>
      <c r="BW72" s="22"/>
      <c r="BX72" s="17"/>
      <c r="BY72" s="22"/>
      <c r="CC72" s="36" t="s">
        <v>214</v>
      </c>
      <c r="CD72" s="48">
        <v>90902515.64000003</v>
      </c>
      <c r="CE72" s="38">
        <v>3.6277270800909632E-3</v>
      </c>
      <c r="CF72" s="47">
        <v>440</v>
      </c>
      <c r="CG72" s="38">
        <v>1.5708338985955317E-3</v>
      </c>
      <c r="CH72" s="50">
        <v>105870000</v>
      </c>
      <c r="CI72" s="38">
        <v>2.4852410532196566E-3</v>
      </c>
      <c r="CJ72" s="13"/>
      <c r="EG72" s="36" t="s">
        <v>99</v>
      </c>
      <c r="EH72" s="37">
        <v>84421777.559999958</v>
      </c>
      <c r="EI72" s="38">
        <v>3.3690945343768197E-3</v>
      </c>
      <c r="EJ72" s="49">
        <v>954</v>
      </c>
      <c r="EK72" s="38">
        <v>3.4058534983184936E-3</v>
      </c>
      <c r="EL72" s="50">
        <v>151952160</v>
      </c>
      <c r="EM72" s="38">
        <v>3.5669948631094905E-3</v>
      </c>
    </row>
    <row r="73" spans="22:143" x14ac:dyDescent="0.25">
      <c r="V73"/>
      <c r="W73" s="13"/>
      <c r="X73" s="13"/>
      <c r="BG73"/>
      <c r="BK73"/>
      <c r="BL73" s="45"/>
      <c r="BV73" s="20"/>
      <c r="BW73" s="22"/>
      <c r="BX73" s="17"/>
      <c r="BY73" s="22"/>
      <c r="CC73" s="36" t="s">
        <v>215</v>
      </c>
      <c r="CD73" s="48">
        <v>2923683.9200000004</v>
      </c>
      <c r="CE73" s="38">
        <v>1.1667803971690501E-4</v>
      </c>
      <c r="CF73" s="47">
        <v>12</v>
      </c>
      <c r="CG73" s="38">
        <v>4.2840924507150864E-5</v>
      </c>
      <c r="CH73" s="50">
        <v>4926000</v>
      </c>
      <c r="CI73" s="38">
        <v>1.1563518870463803E-4</v>
      </c>
      <c r="CJ73" s="13"/>
      <c r="EG73" s="36" t="s">
        <v>100</v>
      </c>
      <c r="EH73" s="37">
        <v>71014380.209999993</v>
      </c>
      <c r="EI73" s="38">
        <v>2.8340336716746631E-3</v>
      </c>
      <c r="EJ73" s="49">
        <v>1635</v>
      </c>
      <c r="EK73" s="38">
        <v>5.8370759640993053E-3</v>
      </c>
      <c r="EL73" s="50">
        <v>125752320</v>
      </c>
      <c r="EM73" s="38">
        <v>2.951967773699965E-3</v>
      </c>
    </row>
    <row r="74" spans="22:143" x14ac:dyDescent="0.25">
      <c r="V74"/>
      <c r="W74" s="13"/>
      <c r="X74" s="13"/>
      <c r="BG74"/>
      <c r="BK74"/>
      <c r="BL74" s="45"/>
      <c r="BV74" s="2"/>
      <c r="BW74" s="2"/>
      <c r="BX74" s="2"/>
      <c r="BY74" s="17"/>
      <c r="CC74" s="36" t="s">
        <v>216</v>
      </c>
      <c r="CD74" s="48">
        <v>23334986.620000005</v>
      </c>
      <c r="CE74" s="38">
        <v>9.312499470331961E-4</v>
      </c>
      <c r="CF74" s="47">
        <v>118</v>
      </c>
      <c r="CG74" s="38">
        <v>4.2126909098698351E-4</v>
      </c>
      <c r="CH74" s="50">
        <v>31067200</v>
      </c>
      <c r="CI74" s="38">
        <v>7.292857357947078E-4</v>
      </c>
      <c r="CJ74" s="13"/>
      <c r="EG74" s="36" t="s">
        <v>280</v>
      </c>
      <c r="EH74" s="37">
        <v>11064667.74</v>
      </c>
      <c r="EI74" s="38">
        <v>4.4156748039373474E-4</v>
      </c>
      <c r="EJ74" s="49">
        <v>72</v>
      </c>
      <c r="EK74" s="38">
        <v>2.5704554704290519E-4</v>
      </c>
      <c r="EL74" s="50">
        <v>17532000</v>
      </c>
      <c r="EM74" s="38">
        <v>4.115542282520735E-4</v>
      </c>
    </row>
    <row r="75" spans="22:143" x14ac:dyDescent="0.25">
      <c r="V75"/>
      <c r="W75" s="13"/>
      <c r="X75" s="13"/>
      <c r="BG75"/>
      <c r="BK75"/>
      <c r="BL75" s="45"/>
      <c r="BV75" s="2"/>
      <c r="BW75" s="2"/>
      <c r="BX75" s="2"/>
      <c r="BY75" s="17"/>
      <c r="CC75" s="36" t="s">
        <v>217</v>
      </c>
      <c r="CD75" s="48">
        <v>1447038.06</v>
      </c>
      <c r="CE75" s="38">
        <v>5.7748227529518023E-5</v>
      </c>
      <c r="CF75" s="47">
        <v>4</v>
      </c>
      <c r="CG75" s="38">
        <v>1.4280308169050288E-5</v>
      </c>
      <c r="CH75" s="50">
        <v>1900000</v>
      </c>
      <c r="CI75" s="38">
        <v>4.4601473515796237E-5</v>
      </c>
      <c r="CJ75" s="13"/>
      <c r="EG75" s="36" t="s">
        <v>281</v>
      </c>
      <c r="EH75" s="37">
        <v>82249.709999999992</v>
      </c>
      <c r="EI75" s="38">
        <v>3.2824119134204896E-6</v>
      </c>
      <c r="EJ75" s="49">
        <v>3</v>
      </c>
      <c r="EK75" s="38">
        <v>1.0710231126787716E-5</v>
      </c>
      <c r="EL75" s="50">
        <v>423000</v>
      </c>
      <c r="EM75" s="38">
        <v>9.9296964722009525E-6</v>
      </c>
    </row>
    <row r="76" spans="22:143" x14ac:dyDescent="0.25">
      <c r="V76"/>
      <c r="W76" s="13"/>
      <c r="X76" s="13"/>
      <c r="BG76"/>
      <c r="BK76"/>
      <c r="BL76" s="45"/>
      <c r="BV76" s="2"/>
      <c r="BW76" s="2"/>
      <c r="BX76" s="2"/>
      <c r="BY76" s="17"/>
      <c r="CC76" s="36" t="s">
        <v>218</v>
      </c>
      <c r="CD76" s="48">
        <v>116400000</v>
      </c>
      <c r="CE76" s="38">
        <v>4.6452777368108048E-3</v>
      </c>
      <c r="CF76" s="47">
        <v>4</v>
      </c>
      <c r="CG76" s="38">
        <v>1.4280308169050288E-5</v>
      </c>
      <c r="CH76" s="50">
        <v>140000000</v>
      </c>
      <c r="CI76" s="38">
        <v>3.2864243643218279E-3</v>
      </c>
      <c r="CJ76" s="13"/>
      <c r="EG76" s="36" t="s">
        <v>101</v>
      </c>
      <c r="EH76" s="37">
        <v>18935703.299999997</v>
      </c>
      <c r="EI76" s="38">
        <v>7.5568385713354702E-4</v>
      </c>
      <c r="EJ76" s="49">
        <v>336</v>
      </c>
      <c r="EK76" s="38">
        <v>1.1995458862002241E-3</v>
      </c>
      <c r="EL76" s="50">
        <v>27922800</v>
      </c>
      <c r="EM76" s="38">
        <v>6.5547264457203956E-4</v>
      </c>
    </row>
    <row r="77" spans="22:143" x14ac:dyDescent="0.25">
      <c r="BG77"/>
      <c r="BK77"/>
      <c r="BL77" s="45"/>
      <c r="BV77" s="9"/>
      <c r="BW77" s="6"/>
      <c r="BX77" s="7"/>
      <c r="BY77" s="8"/>
      <c r="CC77" s="36" t="s">
        <v>219</v>
      </c>
      <c r="CD77" s="48">
        <v>35470913.120000005</v>
      </c>
      <c r="CE77" s="38">
        <v>1.4155690981158618E-3</v>
      </c>
      <c r="CF77" s="47">
        <v>110</v>
      </c>
      <c r="CG77" s="38">
        <v>3.9270847464888294E-4</v>
      </c>
      <c r="CH77" s="50">
        <v>45464000</v>
      </c>
      <c r="CI77" s="38">
        <v>1.0672428378537685E-3</v>
      </c>
      <c r="EG77" s="36" t="s">
        <v>282</v>
      </c>
      <c r="EH77" s="37">
        <v>261624.87000000002</v>
      </c>
      <c r="EI77" s="38">
        <v>1.044089505160671E-5</v>
      </c>
      <c r="EJ77" s="49">
        <v>6</v>
      </c>
      <c r="EK77" s="38">
        <v>2.1420462253575432E-5</v>
      </c>
      <c r="EL77" s="50">
        <v>351000</v>
      </c>
      <c r="EM77" s="38">
        <v>8.2395353705497251E-6</v>
      </c>
    </row>
    <row r="78" spans="22:143" x14ac:dyDescent="0.25">
      <c r="BG78"/>
      <c r="BK78"/>
      <c r="BL78" s="45"/>
      <c r="BV78" s="16"/>
      <c r="BW78" s="15"/>
      <c r="BX78" s="7"/>
      <c r="BY78" s="8"/>
      <c r="CC78" s="36" t="s">
        <v>220</v>
      </c>
      <c r="CD78" s="48">
        <v>271017159.58000016</v>
      </c>
      <c r="CE78" s="38">
        <v>1.0815721457823675E-2</v>
      </c>
      <c r="CF78" s="47">
        <v>524</v>
      </c>
      <c r="CG78" s="38">
        <v>1.8707203701455878E-3</v>
      </c>
      <c r="CH78" s="50">
        <v>372226000</v>
      </c>
      <c r="CI78" s="38">
        <v>8.7378042531004053E-3</v>
      </c>
      <c r="EG78" s="36" t="s">
        <v>283</v>
      </c>
      <c r="EH78" s="37">
        <v>108333.18</v>
      </c>
      <c r="EI78" s="38">
        <v>4.3233480172845147E-6</v>
      </c>
      <c r="EJ78" s="49">
        <v>3</v>
      </c>
      <c r="EK78" s="38">
        <v>1.0710231126787716E-5</v>
      </c>
      <c r="EL78" s="50">
        <v>300000</v>
      </c>
      <c r="EM78" s="38">
        <v>7.0423379235467741E-6</v>
      </c>
    </row>
    <row r="79" spans="22:143" x14ac:dyDescent="0.25">
      <c r="BG79"/>
      <c r="BK79"/>
      <c r="BL79" s="45"/>
      <c r="BV79" s="16"/>
      <c r="BW79" s="18"/>
      <c r="BX79" s="2"/>
      <c r="BY79" s="17"/>
      <c r="CC79" s="36" t="s">
        <v>221</v>
      </c>
      <c r="CD79" s="48">
        <v>3034874.24</v>
      </c>
      <c r="CE79" s="38">
        <v>1.2111541014684376E-4</v>
      </c>
      <c r="CF79" s="47">
        <v>12</v>
      </c>
      <c r="CG79" s="38">
        <v>4.2840924507150864E-5</v>
      </c>
      <c r="CH79" s="50">
        <v>3700000</v>
      </c>
      <c r="CI79" s="38">
        <v>8.6855501057076886E-5</v>
      </c>
      <c r="EG79" s="36" t="s">
        <v>284</v>
      </c>
      <c r="EH79" s="37">
        <v>37975724.339999996</v>
      </c>
      <c r="EI79" s="38">
        <v>1.515530814569297E-3</v>
      </c>
      <c r="EJ79" s="49">
        <v>333</v>
      </c>
      <c r="EK79" s="38">
        <v>1.1888356550734365E-3</v>
      </c>
      <c r="EL79" s="50">
        <v>62604990</v>
      </c>
      <c r="EM79" s="38">
        <v>1.4696183176008885E-3</v>
      </c>
    </row>
    <row r="80" spans="22:143" x14ac:dyDescent="0.25">
      <c r="BG80"/>
      <c r="BK80"/>
      <c r="BL80" s="45"/>
      <c r="BV80" s="16"/>
      <c r="BW80" s="18"/>
      <c r="BX80" s="2"/>
      <c r="BY80" s="17"/>
      <c r="CC80" s="36" t="s">
        <v>222</v>
      </c>
      <c r="CD80" s="48">
        <v>35214420</v>
      </c>
      <c r="CE80" s="38">
        <v>1.4053330003497007E-3</v>
      </c>
      <c r="CF80" s="47">
        <v>108</v>
      </c>
      <c r="CG80" s="38">
        <v>3.8556832056435775E-4</v>
      </c>
      <c r="CH80" s="50">
        <v>40854000</v>
      </c>
      <c r="CI80" s="38">
        <v>9.5902557842859968E-4</v>
      </c>
      <c r="EG80" s="36" t="s">
        <v>285</v>
      </c>
      <c r="EH80" s="37">
        <v>1468584.2100000002</v>
      </c>
      <c r="EI80" s="38">
        <v>5.8608088791622721E-5</v>
      </c>
      <c r="EJ80" s="49">
        <v>42</v>
      </c>
      <c r="EK80" s="38">
        <v>1.4994323577502801E-4</v>
      </c>
      <c r="EL80" s="50">
        <v>2565000</v>
      </c>
      <c r="EM80" s="38">
        <v>6.0211989246324922E-5</v>
      </c>
    </row>
    <row r="81" spans="59:143" x14ac:dyDescent="0.25">
      <c r="BG81"/>
      <c r="BK81"/>
      <c r="BL81" s="45"/>
      <c r="BV81" s="16"/>
      <c r="BW81" s="15"/>
      <c r="BX81" s="2"/>
      <c r="BY81" s="17"/>
      <c r="CC81" s="36" t="s">
        <v>223</v>
      </c>
      <c r="CD81" s="48">
        <v>441263.94</v>
      </c>
      <c r="CE81" s="38">
        <v>1.7609910279548272E-5</v>
      </c>
      <c r="CF81" s="47">
        <v>2</v>
      </c>
      <c r="CG81" s="38">
        <v>7.1401540845251441E-6</v>
      </c>
      <c r="CH81" s="50">
        <v>520000</v>
      </c>
      <c r="CI81" s="38">
        <v>1.2206719067481075E-5</v>
      </c>
      <c r="EG81" s="36" t="s">
        <v>286</v>
      </c>
      <c r="EH81" s="37">
        <v>60024242.370000005</v>
      </c>
      <c r="EI81" s="38">
        <v>2.3954405219097667E-3</v>
      </c>
      <c r="EJ81" s="49">
        <v>192</v>
      </c>
      <c r="EK81" s="38">
        <v>6.8545479211441383E-4</v>
      </c>
      <c r="EL81" s="50">
        <v>109179000</v>
      </c>
      <c r="EM81" s="38">
        <v>2.5629180405163775E-3</v>
      </c>
    </row>
    <row r="82" spans="59:143" x14ac:dyDescent="0.25">
      <c r="BG82"/>
      <c r="BK82"/>
      <c r="BL82" s="45"/>
      <c r="BV82" s="2"/>
      <c r="BW82" s="2"/>
      <c r="BX82" s="2"/>
      <c r="BY82" s="17"/>
      <c r="CC82" s="36" t="s">
        <v>224</v>
      </c>
      <c r="CD82" s="48">
        <v>50076343.039999984</v>
      </c>
      <c r="CE82" s="38">
        <v>1.9984409060533732E-3</v>
      </c>
      <c r="CF82" s="47">
        <v>120</v>
      </c>
      <c r="CG82" s="38">
        <v>4.2840924507150864E-4</v>
      </c>
      <c r="CH82" s="50">
        <v>65144000</v>
      </c>
      <c r="CI82" s="38">
        <v>1.5292202056384368E-3</v>
      </c>
      <c r="EG82" s="36" t="s">
        <v>287</v>
      </c>
      <c r="EH82" s="37">
        <v>26405082.930000003</v>
      </c>
      <c r="EI82" s="38">
        <v>1.0537709954757048E-3</v>
      </c>
      <c r="EJ82" s="49">
        <v>63</v>
      </c>
      <c r="EK82" s="38">
        <v>2.2491485366254204E-4</v>
      </c>
      <c r="EL82" s="50">
        <v>39224400</v>
      </c>
      <c r="EM82" s="38">
        <v>9.2077159882789365E-4</v>
      </c>
    </row>
    <row r="83" spans="59:143" x14ac:dyDescent="0.25">
      <c r="BG83"/>
      <c r="BK83"/>
      <c r="BL83" s="45"/>
      <c r="BV83" s="15"/>
      <c r="BW83" s="24"/>
      <c r="BX83" s="23"/>
      <c r="BY83" s="23"/>
      <c r="CC83" s="36" t="s">
        <v>225</v>
      </c>
      <c r="CD83" s="48">
        <v>17216163.480000004</v>
      </c>
      <c r="CE83" s="38">
        <v>6.8706066088435784E-4</v>
      </c>
      <c r="CF83" s="47">
        <v>68</v>
      </c>
      <c r="CG83" s="38">
        <v>2.427652388738549E-4</v>
      </c>
      <c r="CH83" s="50">
        <v>27542000</v>
      </c>
      <c r="CI83" s="38">
        <v>6.4653357030108416E-4</v>
      </c>
      <c r="EG83" s="36" t="s">
        <v>288</v>
      </c>
      <c r="EH83" s="37">
        <v>253258316.16000009</v>
      </c>
      <c r="EI83" s="38">
        <v>1.010700358866186E-2</v>
      </c>
      <c r="EJ83" s="49">
        <v>4155</v>
      </c>
      <c r="EK83" s="38">
        <v>1.4833670110600987E-2</v>
      </c>
      <c r="EL83" s="50">
        <v>442209660</v>
      </c>
      <c r="EM83" s="38">
        <v>1.0380632862589084E-2</v>
      </c>
    </row>
    <row r="84" spans="59:143" x14ac:dyDescent="0.25">
      <c r="BG84"/>
      <c r="BK84"/>
      <c r="BL84" s="45"/>
      <c r="BV84" s="15"/>
      <c r="BW84" s="24"/>
      <c r="BX84" s="20"/>
      <c r="BY84" s="23"/>
      <c r="CC84" s="36" t="s">
        <v>226</v>
      </c>
      <c r="CD84" s="48">
        <v>106353076.23999998</v>
      </c>
      <c r="CE84" s="38">
        <v>4.2443262654554472E-3</v>
      </c>
      <c r="CF84" s="47">
        <v>314</v>
      </c>
      <c r="CG84" s="38">
        <v>1.1210041912704477E-3</v>
      </c>
      <c r="CH84" s="50">
        <v>160802000</v>
      </c>
      <c r="CI84" s="38">
        <v>3.7747400759405615E-3</v>
      </c>
      <c r="EG84" s="36" t="s">
        <v>289</v>
      </c>
      <c r="EH84" s="37">
        <v>714833.46</v>
      </c>
      <c r="EI84" s="38">
        <v>2.8527491041799287E-5</v>
      </c>
      <c r="EJ84" s="49">
        <v>24</v>
      </c>
      <c r="EK84" s="38">
        <v>8.5681849014301729E-5</v>
      </c>
      <c r="EL84" s="50">
        <v>3441000</v>
      </c>
      <c r="EM84" s="38">
        <v>8.0775615983081503E-5</v>
      </c>
    </row>
    <row r="85" spans="59:143" x14ac:dyDescent="0.25">
      <c r="BG85"/>
      <c r="BK85"/>
      <c r="BL85" s="45"/>
      <c r="BV85" s="20"/>
      <c r="BW85" s="27"/>
      <c r="BX85" s="23"/>
      <c r="BY85" s="17"/>
      <c r="CC85" s="36" t="s">
        <v>227</v>
      </c>
      <c r="CD85" s="48">
        <v>123569823.28</v>
      </c>
      <c r="CE85" s="38">
        <v>4.9314102149847893E-3</v>
      </c>
      <c r="CF85" s="47">
        <v>534</v>
      </c>
      <c r="CG85" s="38">
        <v>1.9064211405682135E-3</v>
      </c>
      <c r="CH85" s="50">
        <v>180396000</v>
      </c>
      <c r="CI85" s="38">
        <v>4.2346986401871466E-3</v>
      </c>
      <c r="EG85" s="36" t="s">
        <v>290</v>
      </c>
      <c r="EH85" s="37">
        <v>7326511.8900000006</v>
      </c>
      <c r="EI85" s="38">
        <v>2.9238558909876851E-4</v>
      </c>
      <c r="EJ85" s="49">
        <v>123</v>
      </c>
      <c r="EK85" s="38">
        <v>4.3911947619829637E-4</v>
      </c>
      <c r="EL85" s="50">
        <v>12972000</v>
      </c>
      <c r="EM85" s="38">
        <v>3.0451069181416251E-4</v>
      </c>
    </row>
    <row r="86" spans="59:143" x14ac:dyDescent="0.25">
      <c r="BG86"/>
      <c r="BK86"/>
      <c r="BL86" s="45"/>
      <c r="BV86" s="20"/>
      <c r="BW86" s="27"/>
      <c r="BX86" s="23"/>
      <c r="BY86" s="17"/>
      <c r="CC86" s="36" t="s">
        <v>35</v>
      </c>
      <c r="CD86" s="48">
        <v>25057705178.229862</v>
      </c>
      <c r="CE86" s="38">
        <v>1</v>
      </c>
      <c r="CF86" s="47">
        <v>280106</v>
      </c>
      <c r="CG86" s="38">
        <v>1</v>
      </c>
      <c r="CH86" s="50">
        <v>42599489439</v>
      </c>
      <c r="CI86" s="38">
        <v>1</v>
      </c>
      <c r="EG86" s="36" t="s">
        <v>291</v>
      </c>
      <c r="EH86" s="37">
        <v>309758.16000000003</v>
      </c>
      <c r="EI86" s="38">
        <v>1.2361792821679376E-5</v>
      </c>
      <c r="EJ86" s="49">
        <v>18</v>
      </c>
      <c r="EK86" s="38">
        <v>6.4261386760726297E-5</v>
      </c>
      <c r="EL86" s="50">
        <v>957000</v>
      </c>
      <c r="EM86" s="38">
        <v>2.2465057976114211E-5</v>
      </c>
    </row>
    <row r="87" spans="59:143" x14ac:dyDescent="0.25">
      <c r="BG87"/>
      <c r="BK87"/>
      <c r="BL87" s="45"/>
      <c r="BV87" s="20"/>
      <c r="BW87" s="27"/>
      <c r="BX87" s="23"/>
      <c r="BY87" s="17"/>
      <c r="EG87" s="36" t="s">
        <v>292</v>
      </c>
      <c r="EH87" s="37">
        <v>18122371.530000001</v>
      </c>
      <c r="EI87" s="38">
        <v>7.2322550692889153E-4</v>
      </c>
      <c r="EJ87" s="49">
        <v>159</v>
      </c>
      <c r="EK87" s="38">
        <v>5.6764224971974893E-4</v>
      </c>
      <c r="EL87" s="50">
        <v>31910520</v>
      </c>
      <c r="EM87" s="38">
        <v>7.4908221718699266E-4</v>
      </c>
    </row>
    <row r="88" spans="59:143" x14ac:dyDescent="0.25">
      <c r="BG88"/>
      <c r="BK88"/>
      <c r="BL88" s="45"/>
      <c r="BV88" s="20"/>
      <c r="BW88" s="27"/>
      <c r="BX88" s="23"/>
      <c r="BY88" s="17"/>
      <c r="EG88" s="36" t="s">
        <v>293</v>
      </c>
      <c r="EH88" s="37">
        <v>11464654.41</v>
      </c>
      <c r="EI88" s="38">
        <v>4.5753010215638154E-4</v>
      </c>
      <c r="EJ88" s="49">
        <v>264</v>
      </c>
      <c r="EK88" s="38">
        <v>9.4250033915731896E-4</v>
      </c>
      <c r="EL88" s="50">
        <v>23100000</v>
      </c>
      <c r="EM88" s="38">
        <v>5.4226002011310164E-4</v>
      </c>
    </row>
    <row r="89" spans="59:143" x14ac:dyDescent="0.25">
      <c r="BG89"/>
      <c r="BK89"/>
      <c r="BL89" s="45"/>
      <c r="BV89" s="20"/>
      <c r="BW89" s="27"/>
      <c r="BX89" s="23"/>
      <c r="BY89" s="17"/>
      <c r="EG89" s="36" t="s">
        <v>294</v>
      </c>
      <c r="EH89" s="37">
        <v>11926077.690000001</v>
      </c>
      <c r="EI89" s="38">
        <v>4.7594452904495737E-4</v>
      </c>
      <c r="EJ89" s="49">
        <v>294</v>
      </c>
      <c r="EK89" s="38">
        <v>1.0496026504251961E-3</v>
      </c>
      <c r="EL89" s="50">
        <v>22989300</v>
      </c>
      <c r="EM89" s="38">
        <v>5.3966139741931283E-4</v>
      </c>
    </row>
    <row r="90" spans="59:143" x14ac:dyDescent="0.25">
      <c r="BG90"/>
      <c r="BK90"/>
      <c r="BL90" s="45"/>
      <c r="BV90" s="20"/>
      <c r="BW90" s="27"/>
      <c r="BX90" s="23"/>
      <c r="BY90" s="17"/>
      <c r="EG90" s="36" t="s">
        <v>295</v>
      </c>
      <c r="EH90" s="37">
        <v>1683333.6300000001</v>
      </c>
      <c r="EI90" s="38">
        <v>6.717828380639104E-5</v>
      </c>
      <c r="EJ90" s="49">
        <v>27</v>
      </c>
      <c r="EK90" s="38">
        <v>9.6392080141089438E-5</v>
      </c>
      <c r="EL90" s="50">
        <v>2607000</v>
      </c>
      <c r="EM90" s="38">
        <v>6.119791655562147E-5</v>
      </c>
    </row>
    <row r="91" spans="59:143" x14ac:dyDescent="0.25">
      <c r="BG91"/>
      <c r="BK91"/>
      <c r="BL91" s="45"/>
      <c r="BV91" s="20"/>
      <c r="BW91" s="27"/>
      <c r="BX91" s="23"/>
      <c r="BY91" s="17"/>
      <c r="EG91" s="36" t="s">
        <v>296</v>
      </c>
      <c r="EH91" s="37">
        <v>11074707.540000001</v>
      </c>
      <c r="EI91" s="38">
        <v>4.4196814757089999E-4</v>
      </c>
      <c r="EJ91" s="49">
        <v>63</v>
      </c>
      <c r="EK91" s="38">
        <v>2.2491485366254204E-4</v>
      </c>
      <c r="EL91" s="50">
        <v>16890000</v>
      </c>
      <c r="EM91" s="38">
        <v>3.9648362509568338E-4</v>
      </c>
    </row>
    <row r="92" spans="59:143" x14ac:dyDescent="0.25">
      <c r="BG92"/>
      <c r="BK92"/>
      <c r="BL92" s="45"/>
      <c r="BV92" s="20"/>
      <c r="BW92" s="27"/>
      <c r="BX92" s="23"/>
      <c r="BY92" s="17"/>
      <c r="EG92" s="36" t="s">
        <v>102</v>
      </c>
      <c r="EH92" s="37">
        <v>72090544.530000001</v>
      </c>
      <c r="EI92" s="38">
        <v>2.8769811128846819E-3</v>
      </c>
      <c r="EJ92" s="49">
        <v>486</v>
      </c>
      <c r="EK92" s="38">
        <v>1.7350574425396099E-3</v>
      </c>
      <c r="EL92" s="50">
        <v>166374900</v>
      </c>
      <c r="EM92" s="38">
        <v>3.9055608926543408E-3</v>
      </c>
    </row>
    <row r="93" spans="59:143" x14ac:dyDescent="0.25">
      <c r="BG93"/>
      <c r="BK93"/>
      <c r="BL93" s="45"/>
      <c r="BV93" s="20"/>
      <c r="BW93" s="27"/>
      <c r="BX93" s="23"/>
      <c r="BY93" s="17"/>
      <c r="EG93" s="36" t="s">
        <v>297</v>
      </c>
      <c r="EH93" s="37">
        <v>19322531.25</v>
      </c>
      <c r="EI93" s="38">
        <v>7.7112134222041286E-4</v>
      </c>
      <c r="EJ93" s="49">
        <v>279</v>
      </c>
      <c r="EK93" s="38">
        <v>9.9605149479125763E-4</v>
      </c>
      <c r="EL93" s="50">
        <v>36348900</v>
      </c>
      <c r="EM93" s="38">
        <v>8.5327078983069786E-4</v>
      </c>
    </row>
    <row r="94" spans="59:143" x14ac:dyDescent="0.25">
      <c r="BG94"/>
      <c r="BK94"/>
      <c r="BL94" s="45"/>
      <c r="EG94" s="36" t="s">
        <v>298</v>
      </c>
      <c r="EH94" s="37">
        <v>704583.45</v>
      </c>
      <c r="EI94" s="38">
        <v>2.8118434828267601E-5</v>
      </c>
      <c r="EJ94" s="49">
        <v>6</v>
      </c>
      <c r="EK94" s="38">
        <v>2.1420462253575432E-5</v>
      </c>
      <c r="EL94" s="50">
        <v>2685000</v>
      </c>
      <c r="EM94" s="38">
        <v>6.3028924415743626E-5</v>
      </c>
    </row>
    <row r="95" spans="59:143" x14ac:dyDescent="0.25">
      <c r="BG95"/>
      <c r="BK95"/>
      <c r="BL95" s="45"/>
      <c r="EG95" s="36" t="s">
        <v>299</v>
      </c>
      <c r="EH95" s="37">
        <v>51551308.949999996</v>
      </c>
      <c r="EI95" s="38">
        <v>2.0573036749904688E-3</v>
      </c>
      <c r="EJ95" s="49">
        <v>528</v>
      </c>
      <c r="EK95" s="38">
        <v>1.8850006783146379E-3</v>
      </c>
      <c r="EL95" s="50">
        <v>119596500</v>
      </c>
      <c r="EM95" s="38">
        <v>2.8074632249115391E-3</v>
      </c>
    </row>
    <row r="96" spans="59:143" x14ac:dyDescent="0.25">
      <c r="BG96"/>
      <c r="BK96"/>
      <c r="BL96" s="45"/>
      <c r="EG96" s="36" t="s">
        <v>300</v>
      </c>
      <c r="EH96" s="37">
        <v>1560082.9500000002</v>
      </c>
      <c r="EI96" s="38">
        <v>6.2259609924511384E-5</v>
      </c>
      <c r="EJ96" s="49">
        <v>21</v>
      </c>
      <c r="EK96" s="38">
        <v>7.4971617887514006E-5</v>
      </c>
      <c r="EL96" s="50">
        <v>2466000</v>
      </c>
      <c r="EM96" s="38">
        <v>5.7888017731554484E-5</v>
      </c>
    </row>
    <row r="97" spans="59:143" x14ac:dyDescent="0.25">
      <c r="BG97"/>
      <c r="BK97"/>
      <c r="BL97" s="45"/>
      <c r="EG97" s="36" t="s">
        <v>301</v>
      </c>
      <c r="EH97" s="37">
        <v>21647399.009999998</v>
      </c>
      <c r="EI97" s="38">
        <v>8.639018958849935E-4</v>
      </c>
      <c r="EJ97" s="49">
        <v>213</v>
      </c>
      <c r="EK97" s="38">
        <v>7.6042641000192784E-4</v>
      </c>
      <c r="EL97" s="50">
        <v>41393400</v>
      </c>
      <c r="EM97" s="38">
        <v>9.7168770201513683E-4</v>
      </c>
    </row>
    <row r="98" spans="59:143" x14ac:dyDescent="0.25">
      <c r="BG98"/>
      <c r="BK98"/>
      <c r="BL98" s="45"/>
      <c r="EG98" s="36" t="s">
        <v>302</v>
      </c>
      <c r="EH98" s="37">
        <v>25120261.800000008</v>
      </c>
      <c r="EI98" s="38">
        <v>1.002496502426108E-3</v>
      </c>
      <c r="EJ98" s="49">
        <v>315</v>
      </c>
      <c r="EK98" s="38">
        <v>1.1245742683127101E-3</v>
      </c>
      <c r="EL98" s="50">
        <v>46263000</v>
      </c>
      <c r="EM98" s="38">
        <v>1.0859989311901481E-3</v>
      </c>
    </row>
    <row r="99" spans="59:143" x14ac:dyDescent="0.25">
      <c r="BG99"/>
      <c r="BK99"/>
      <c r="BL99" s="45"/>
      <c r="EG99" s="36" t="s">
        <v>303</v>
      </c>
      <c r="EH99" s="37">
        <v>5545472.9699999988</v>
      </c>
      <c r="EI99" s="38">
        <v>2.2130809387995779E-4</v>
      </c>
      <c r="EJ99" s="49">
        <v>105</v>
      </c>
      <c r="EK99" s="38">
        <v>3.7485808943757008E-4</v>
      </c>
      <c r="EL99" s="50">
        <v>9573780</v>
      </c>
      <c r="EM99" s="38">
        <v>2.2473931321897878E-4</v>
      </c>
    </row>
    <row r="100" spans="59:143" x14ac:dyDescent="0.25">
      <c r="BG100"/>
      <c r="BK100"/>
      <c r="BL100" s="45"/>
      <c r="EG100" s="36" t="s">
        <v>304</v>
      </c>
      <c r="EH100" s="37">
        <v>35086058.159999996</v>
      </c>
      <c r="EI100" s="38">
        <v>1.4002103508857135E-3</v>
      </c>
      <c r="EJ100" s="49">
        <v>435</v>
      </c>
      <c r="EK100" s="38">
        <v>1.5529835133842188E-3</v>
      </c>
      <c r="EL100" s="50">
        <v>54393000</v>
      </c>
      <c r="EM100" s="38">
        <v>1.2768462889182657E-3</v>
      </c>
    </row>
    <row r="101" spans="59:143" x14ac:dyDescent="0.25">
      <c r="BG101"/>
      <c r="BK101"/>
      <c r="BL101" s="45"/>
      <c r="EG101" s="36" t="s">
        <v>305</v>
      </c>
      <c r="EH101" s="37">
        <v>149166.54</v>
      </c>
      <c r="EI101" s="38">
        <v>5.9529210252499862E-6</v>
      </c>
      <c r="EJ101" s="49">
        <v>9</v>
      </c>
      <c r="EK101" s="38">
        <v>3.2130693380363148E-5</v>
      </c>
      <c r="EL101" s="50">
        <v>1110000</v>
      </c>
      <c r="EM101" s="38">
        <v>2.6056650317123065E-5</v>
      </c>
    </row>
    <row r="102" spans="59:143" x14ac:dyDescent="0.25">
      <c r="BG102"/>
      <c r="BK102"/>
      <c r="BL102" s="45"/>
      <c r="EG102" s="36" t="s">
        <v>306</v>
      </c>
      <c r="EH102" s="37">
        <v>1319442454.2899964</v>
      </c>
      <c r="EI102" s="38">
        <v>5.2656156854951272E-2</v>
      </c>
      <c r="EJ102" s="49">
        <v>27090</v>
      </c>
      <c r="EK102" s="38">
        <v>9.6713387074893076E-2</v>
      </c>
      <c r="EL102" s="50">
        <v>2614493493</v>
      </c>
      <c r="EM102" s="38">
        <v>6.1373822255400577E-2</v>
      </c>
    </row>
    <row r="103" spans="59:143" x14ac:dyDescent="0.25">
      <c r="BG103"/>
      <c r="BK103"/>
      <c r="BL103" s="45"/>
      <c r="EG103" s="36" t="s">
        <v>307</v>
      </c>
      <c r="EH103" s="37">
        <v>128527213.65000001</v>
      </c>
      <c r="EI103" s="38">
        <v>5.1292491764834266E-3</v>
      </c>
      <c r="EJ103" s="49">
        <v>2592</v>
      </c>
      <c r="EK103" s="38">
        <v>9.2536396935445873E-3</v>
      </c>
      <c r="EL103" s="50">
        <v>204746190</v>
      </c>
      <c r="EM103" s="38">
        <v>4.8063061951290446E-3</v>
      </c>
    </row>
    <row r="104" spans="59:143" x14ac:dyDescent="0.25">
      <c r="BG104"/>
      <c r="BK104"/>
      <c r="BL104" s="45"/>
      <c r="EG104" s="36" t="s">
        <v>308</v>
      </c>
      <c r="EH104" s="37">
        <v>1681749.69</v>
      </c>
      <c r="EI104" s="38">
        <v>6.7115072112074501E-5</v>
      </c>
      <c r="EJ104" s="49">
        <v>30</v>
      </c>
      <c r="EK104" s="38">
        <v>1.0710231126787716E-4</v>
      </c>
      <c r="EL104" s="50">
        <v>2505000</v>
      </c>
      <c r="EM104" s="38">
        <v>5.8803521661615563E-5</v>
      </c>
    </row>
    <row r="105" spans="59:143" x14ac:dyDescent="0.25">
      <c r="BG105"/>
      <c r="BK105"/>
      <c r="BL105" s="45"/>
      <c r="EG105" s="36" t="s">
        <v>309</v>
      </c>
      <c r="EH105" s="37">
        <v>1478999.79</v>
      </c>
      <c r="EI105" s="38">
        <v>5.9023752553564055E-5</v>
      </c>
      <c r="EJ105" s="49">
        <v>24</v>
      </c>
      <c r="EK105" s="38">
        <v>8.5681849014301729E-5</v>
      </c>
      <c r="EL105" s="50">
        <v>2157000</v>
      </c>
      <c r="EM105" s="38">
        <v>5.0634409670301307E-5</v>
      </c>
    </row>
    <row r="106" spans="59:143" x14ac:dyDescent="0.25">
      <c r="BG106"/>
      <c r="BK106"/>
      <c r="BL106" s="45"/>
      <c r="EG106" s="36" t="s">
        <v>310</v>
      </c>
      <c r="EH106" s="37">
        <v>68022209.12999998</v>
      </c>
      <c r="EI106" s="38">
        <v>2.7146224542979173E-3</v>
      </c>
      <c r="EJ106" s="49">
        <v>1107</v>
      </c>
      <c r="EK106" s="38">
        <v>3.952075285784667E-3</v>
      </c>
      <c r="EL106" s="50">
        <v>122829600</v>
      </c>
      <c r="EM106" s="38">
        <v>2.8833585007136029E-3</v>
      </c>
    </row>
    <row r="107" spans="59:143" x14ac:dyDescent="0.25">
      <c r="BG107"/>
      <c r="BK107"/>
      <c r="BL107" s="45"/>
      <c r="EG107" s="36" t="s">
        <v>311</v>
      </c>
      <c r="EH107" s="37">
        <v>53554958.939999975</v>
      </c>
      <c r="EI107" s="38">
        <v>2.1372651070429437E-3</v>
      </c>
      <c r="EJ107" s="49">
        <v>1794</v>
      </c>
      <c r="EK107" s="38">
        <v>6.4047182138190538E-3</v>
      </c>
      <c r="EL107" s="50">
        <v>102392970</v>
      </c>
      <c r="EM107" s="38">
        <v>2.4036196524519571E-3</v>
      </c>
    </row>
    <row r="108" spans="59:143" x14ac:dyDescent="0.25">
      <c r="BG108"/>
      <c r="BK108"/>
      <c r="BL108" s="45"/>
      <c r="EG108" s="36" t="s">
        <v>312</v>
      </c>
      <c r="EH108" s="37">
        <v>47181357.089999974</v>
      </c>
      <c r="EI108" s="38">
        <v>1.8829081416039304E-3</v>
      </c>
      <c r="EJ108" s="49">
        <v>645</v>
      </c>
      <c r="EK108" s="38">
        <v>2.3026996922593588E-3</v>
      </c>
      <c r="EL108" s="50">
        <v>57915000</v>
      </c>
      <c r="EM108" s="38">
        <v>1.3595233361407047E-3</v>
      </c>
    </row>
    <row r="109" spans="59:143" x14ac:dyDescent="0.25">
      <c r="BG109"/>
      <c r="BK109"/>
      <c r="BL109" s="45"/>
      <c r="EG109" s="36" t="s">
        <v>103</v>
      </c>
      <c r="EH109" s="37">
        <v>740568329.52000082</v>
      </c>
      <c r="EI109" s="38">
        <v>2.9554515238027729E-2</v>
      </c>
      <c r="EJ109" s="49">
        <v>17952</v>
      </c>
      <c r="EK109" s="38">
        <v>6.409002306269769E-2</v>
      </c>
      <c r="EL109" s="50">
        <v>1470395742</v>
      </c>
      <c r="EM109" s="38">
        <v>3.4516745655027659E-2</v>
      </c>
    </row>
    <row r="110" spans="59:143" x14ac:dyDescent="0.25">
      <c r="BG110"/>
      <c r="BK110"/>
      <c r="BL110" s="45"/>
      <c r="EG110" s="36" t="s">
        <v>104</v>
      </c>
      <c r="EH110" s="37">
        <v>35694283.530000009</v>
      </c>
      <c r="EI110" s="38">
        <v>1.4244833386024194E-3</v>
      </c>
      <c r="EJ110" s="49">
        <v>1002</v>
      </c>
      <c r="EK110" s="38">
        <v>3.5772171963470972E-3</v>
      </c>
      <c r="EL110" s="50">
        <v>81180240</v>
      </c>
      <c r="EM110" s="38">
        <v>1.9056622759820959E-3</v>
      </c>
    </row>
    <row r="111" spans="59:143" x14ac:dyDescent="0.25">
      <c r="BG111"/>
      <c r="BK111"/>
      <c r="BL111" s="45"/>
      <c r="EG111" s="36" t="s">
        <v>105</v>
      </c>
      <c r="EH111" s="37">
        <v>31014755.850000001</v>
      </c>
      <c r="EI111" s="38">
        <v>1.2377332891978323E-3</v>
      </c>
      <c r="EJ111" s="49">
        <v>252</v>
      </c>
      <c r="EK111" s="38">
        <v>8.9965941465016818E-4</v>
      </c>
      <c r="EL111" s="50">
        <v>64152000</v>
      </c>
      <c r="EM111" s="38">
        <v>1.5059335415712422E-3</v>
      </c>
    </row>
    <row r="112" spans="59:143" x14ac:dyDescent="0.25">
      <c r="BG112"/>
      <c r="BK112"/>
      <c r="BL112" s="45"/>
      <c r="EG112" s="36" t="s">
        <v>106</v>
      </c>
      <c r="EH112" s="37">
        <v>17582799.989999998</v>
      </c>
      <c r="EI112" s="38">
        <v>7.0169234831910854E-4</v>
      </c>
      <c r="EJ112" s="49">
        <v>327</v>
      </c>
      <c r="EK112" s="38">
        <v>1.167415192819861E-3</v>
      </c>
      <c r="EL112" s="50">
        <v>42444000</v>
      </c>
      <c r="EM112" s="38">
        <v>9.9634996942339757E-4</v>
      </c>
    </row>
    <row r="113" spans="59:143" x14ac:dyDescent="0.25">
      <c r="BG113"/>
      <c r="BK113"/>
      <c r="BL113" s="45"/>
      <c r="EG113" s="36" t="s">
        <v>313</v>
      </c>
      <c r="EH113" s="37">
        <v>44119547.579999998</v>
      </c>
      <c r="EI113" s="38">
        <v>1.7607178018173456E-3</v>
      </c>
      <c r="EJ113" s="49">
        <v>1005</v>
      </c>
      <c r="EK113" s="38">
        <v>3.5879274274738847E-3</v>
      </c>
      <c r="EL113" s="50">
        <v>92028000</v>
      </c>
      <c r="EM113" s="38">
        <v>2.1603075814272087E-3</v>
      </c>
    </row>
    <row r="114" spans="59:143" x14ac:dyDescent="0.25">
      <c r="BG114"/>
      <c r="BK114"/>
      <c r="BL114" s="45"/>
      <c r="EG114" s="36" t="s">
        <v>33</v>
      </c>
      <c r="EH114" s="37">
        <v>25057705178.229862</v>
      </c>
      <c r="EI114" s="38">
        <v>1</v>
      </c>
      <c r="EJ114" s="49">
        <v>280106</v>
      </c>
      <c r="EK114" s="38">
        <v>1</v>
      </c>
      <c r="EL114" s="50">
        <v>42599489439</v>
      </c>
      <c r="EM114" s="38">
        <v>1</v>
      </c>
    </row>
    <row r="115" spans="59:143" x14ac:dyDescent="0.25">
      <c r="BG115"/>
      <c r="BK115"/>
      <c r="BL115" s="45"/>
    </row>
    <row r="116" spans="59:143" x14ac:dyDescent="0.25">
      <c r="BG116"/>
      <c r="BK116"/>
      <c r="BL116" s="45"/>
    </row>
    <row r="117" spans="59:143" x14ac:dyDescent="0.25">
      <c r="BG117"/>
      <c r="BK117"/>
      <c r="BL117" s="45"/>
    </row>
    <row r="118" spans="59:143" x14ac:dyDescent="0.25">
      <c r="BG118"/>
      <c r="BK118"/>
      <c r="BL118" s="45"/>
    </row>
    <row r="119" spans="59:143" x14ac:dyDescent="0.25">
      <c r="BG119"/>
      <c r="BK119"/>
      <c r="BL119" s="45"/>
    </row>
    <row r="120" spans="59:143" x14ac:dyDescent="0.25">
      <c r="BG120"/>
      <c r="BK120"/>
      <c r="BL120" s="45"/>
    </row>
    <row r="121" spans="59:143" x14ac:dyDescent="0.25">
      <c r="BG121"/>
      <c r="BK121"/>
      <c r="BL121" s="45"/>
    </row>
    <row r="122" spans="59:143" x14ac:dyDescent="0.25">
      <c r="BG122"/>
      <c r="BK122"/>
      <c r="BL122" s="45"/>
    </row>
    <row r="123" spans="59:143" x14ac:dyDescent="0.25">
      <c r="BG123"/>
      <c r="BK123"/>
      <c r="BL123" s="45"/>
    </row>
    <row r="124" spans="59:143" x14ac:dyDescent="0.25">
      <c r="BG124"/>
      <c r="BK124"/>
      <c r="BL124" s="45"/>
    </row>
    <row r="125" spans="59:143" x14ac:dyDescent="0.25">
      <c r="BG125"/>
      <c r="BK125"/>
      <c r="BL125" s="45"/>
    </row>
    <row r="126" spans="59:143" x14ac:dyDescent="0.25">
      <c r="BG126"/>
      <c r="BK126"/>
      <c r="BL126" s="45"/>
    </row>
    <row r="127" spans="59:143" x14ac:dyDescent="0.25">
      <c r="BG127"/>
      <c r="BK127"/>
      <c r="BL127" s="45"/>
    </row>
    <row r="128" spans="59:143" x14ac:dyDescent="0.25">
      <c r="BG128"/>
      <c r="BK128"/>
      <c r="BL128" s="45"/>
    </row>
    <row r="129" spans="59:64" x14ac:dyDescent="0.25">
      <c r="BG129"/>
      <c r="BK129"/>
      <c r="BL129" s="45"/>
    </row>
    <row r="130" spans="59:64" x14ac:dyDescent="0.25">
      <c r="BG130"/>
      <c r="BK130"/>
      <c r="BL130" s="45"/>
    </row>
    <row r="131" spans="59:64" x14ac:dyDescent="0.25">
      <c r="BG131"/>
      <c r="BK131"/>
      <c r="BL131" s="45"/>
    </row>
    <row r="132" spans="59:64" x14ac:dyDescent="0.25">
      <c r="BG132"/>
      <c r="BK132"/>
      <c r="BL132" s="45"/>
    </row>
    <row r="133" spans="59:64" x14ac:dyDescent="0.25">
      <c r="BG133"/>
      <c r="BK133"/>
      <c r="BL133" s="45"/>
    </row>
    <row r="134" spans="59:64" x14ac:dyDescent="0.25">
      <c r="BG134"/>
      <c r="BK134"/>
      <c r="BL134" s="45"/>
    </row>
    <row r="135" spans="59:64" x14ac:dyDescent="0.25">
      <c r="BG135"/>
      <c r="BK135"/>
      <c r="BL135" s="45"/>
    </row>
    <row r="136" spans="59:64" x14ac:dyDescent="0.25">
      <c r="BG136"/>
      <c r="BK136"/>
      <c r="BL136" s="45"/>
    </row>
    <row r="137" spans="59:64" x14ac:dyDescent="0.25">
      <c r="BG137"/>
      <c r="BK137"/>
      <c r="BL137" s="45"/>
    </row>
    <row r="138" spans="59:64" x14ac:dyDescent="0.25">
      <c r="BG138"/>
      <c r="BK138"/>
      <c r="BL138" s="45"/>
    </row>
    <row r="139" spans="59:64" x14ac:dyDescent="0.25">
      <c r="BG139"/>
      <c r="BK139"/>
      <c r="BL139" s="45"/>
    </row>
    <row r="140" spans="59:64" x14ac:dyDescent="0.25">
      <c r="BG140"/>
      <c r="BK140"/>
      <c r="BL140" s="45"/>
    </row>
    <row r="141" spans="59:64" x14ac:dyDescent="0.25">
      <c r="BG141"/>
      <c r="BK141"/>
      <c r="BL141" s="45"/>
    </row>
    <row r="142" spans="59:64" x14ac:dyDescent="0.25">
      <c r="BG142"/>
      <c r="BK142"/>
      <c r="BL142" s="45"/>
    </row>
    <row r="143" spans="59:64" x14ac:dyDescent="0.25">
      <c r="BG143"/>
      <c r="BK143"/>
      <c r="BL143" s="45"/>
    </row>
    <row r="144" spans="59:64" x14ac:dyDescent="0.25">
      <c r="BG144"/>
      <c r="BK144"/>
      <c r="BL144" s="45"/>
    </row>
    <row r="145" spans="59:64" x14ac:dyDescent="0.25">
      <c r="BG145"/>
      <c r="BK145"/>
      <c r="BL145" s="45"/>
    </row>
    <row r="146" spans="59:64" x14ac:dyDescent="0.25">
      <c r="BG146"/>
      <c r="BK146"/>
      <c r="BL146" s="45"/>
    </row>
    <row r="147" spans="59:64" x14ac:dyDescent="0.25">
      <c r="BG147"/>
      <c r="BK147"/>
      <c r="BL147" s="45"/>
    </row>
    <row r="148" spans="59:64" x14ac:dyDescent="0.25">
      <c r="BG148"/>
      <c r="BK148"/>
      <c r="BL148" s="45"/>
    </row>
    <row r="149" spans="59:64" x14ac:dyDescent="0.25">
      <c r="BG149"/>
      <c r="BK149"/>
      <c r="BL149" s="45"/>
    </row>
    <row r="150" spans="59:64" x14ac:dyDescent="0.25">
      <c r="BG150"/>
      <c r="BK150"/>
      <c r="BL150" s="45"/>
    </row>
    <row r="151" spans="59:64" x14ac:dyDescent="0.25">
      <c r="BG151"/>
      <c r="BK151"/>
      <c r="BL151" s="45"/>
    </row>
    <row r="152" spans="59:64" x14ac:dyDescent="0.25">
      <c r="BG152"/>
      <c r="BK152"/>
      <c r="BL152" s="45"/>
    </row>
    <row r="153" spans="59:64" x14ac:dyDescent="0.25">
      <c r="BG153"/>
      <c r="BK153"/>
      <c r="BL153" s="45"/>
    </row>
    <row r="154" spans="59:64" x14ac:dyDescent="0.25">
      <c r="BG154"/>
      <c r="BK154"/>
      <c r="BL154" s="45"/>
    </row>
    <row r="155" spans="59:64" x14ac:dyDescent="0.25">
      <c r="BG155"/>
      <c r="BK155"/>
      <c r="BL155" s="45"/>
    </row>
    <row r="156" spans="59:64" x14ac:dyDescent="0.25">
      <c r="BG156"/>
      <c r="BK156"/>
      <c r="BL156" s="45"/>
    </row>
    <row r="157" spans="59:64" x14ac:dyDescent="0.25">
      <c r="BG157"/>
      <c r="BK157"/>
      <c r="BL157" s="45"/>
    </row>
    <row r="158" spans="59:64" x14ac:dyDescent="0.25">
      <c r="BG158"/>
      <c r="BK158"/>
      <c r="BL158" s="45"/>
    </row>
    <row r="159" spans="59:64" x14ac:dyDescent="0.25">
      <c r="BG159"/>
      <c r="BK159"/>
      <c r="BL159" s="45"/>
    </row>
    <row r="160" spans="59:64" x14ac:dyDescent="0.25">
      <c r="BG160"/>
      <c r="BK160"/>
      <c r="BL160" s="45"/>
    </row>
    <row r="161" spans="59:64" x14ac:dyDescent="0.25">
      <c r="BG161"/>
      <c r="BK161"/>
      <c r="BL161" s="45"/>
    </row>
    <row r="162" spans="59:64" x14ac:dyDescent="0.25">
      <c r="BG162"/>
      <c r="BK162"/>
      <c r="BL162" s="45"/>
    </row>
    <row r="163" spans="59:64" x14ac:dyDescent="0.25">
      <c r="BG163"/>
      <c r="BK163"/>
      <c r="BL163" s="45"/>
    </row>
    <row r="164" spans="59:64" x14ac:dyDescent="0.25">
      <c r="BG164"/>
      <c r="BK164"/>
      <c r="BL164" s="45"/>
    </row>
    <row r="165" spans="59:64" x14ac:dyDescent="0.25">
      <c r="BG165"/>
      <c r="BK165"/>
      <c r="BL165" s="45"/>
    </row>
    <row r="166" spans="59:64" x14ac:dyDescent="0.25">
      <c r="BG166"/>
      <c r="BK166"/>
      <c r="BL166" s="45"/>
    </row>
    <row r="167" spans="59:64" x14ac:dyDescent="0.25">
      <c r="BG167"/>
      <c r="BK167"/>
      <c r="BL167" s="45"/>
    </row>
    <row r="168" spans="59:64" x14ac:dyDescent="0.25">
      <c r="BG168"/>
      <c r="BK168"/>
      <c r="BL168" s="45"/>
    </row>
    <row r="169" spans="59:64" x14ac:dyDescent="0.25">
      <c r="BG169"/>
      <c r="BK169"/>
      <c r="BL169" s="45"/>
    </row>
    <row r="170" spans="59:64" x14ac:dyDescent="0.25">
      <c r="BG170"/>
      <c r="BK170"/>
      <c r="BL170" s="45"/>
    </row>
    <row r="171" spans="59:64" x14ac:dyDescent="0.25">
      <c r="BG171"/>
      <c r="BK171"/>
      <c r="BL171" s="45"/>
    </row>
    <row r="172" spans="59:64" x14ac:dyDescent="0.25">
      <c r="BG172"/>
      <c r="BK172"/>
      <c r="BL172" s="45"/>
    </row>
    <row r="173" spans="59:64" x14ac:dyDescent="0.25">
      <c r="BG173"/>
      <c r="BK173"/>
      <c r="BL173" s="45"/>
    </row>
    <row r="174" spans="59:64" x14ac:dyDescent="0.25">
      <c r="BG174"/>
      <c r="BK174"/>
      <c r="BL174" s="45"/>
    </row>
    <row r="175" spans="59:64" x14ac:dyDescent="0.25">
      <c r="BG175"/>
      <c r="BK175"/>
      <c r="BL175" s="45"/>
    </row>
    <row r="176" spans="59:64" x14ac:dyDescent="0.25">
      <c r="BG176"/>
      <c r="BK176"/>
      <c r="BL176" s="45"/>
    </row>
    <row r="177" spans="59:64" x14ac:dyDescent="0.25">
      <c r="BG177"/>
      <c r="BK177"/>
      <c r="BL177" s="45"/>
    </row>
    <row r="178" spans="59:64" x14ac:dyDescent="0.25">
      <c r="BG178"/>
      <c r="BK178"/>
      <c r="BL178" s="45"/>
    </row>
    <row r="179" spans="59:64" x14ac:dyDescent="0.25">
      <c r="BG179"/>
      <c r="BK179"/>
      <c r="BL179" s="45"/>
    </row>
    <row r="180" spans="59:64" x14ac:dyDescent="0.25">
      <c r="BG180"/>
      <c r="BK180"/>
      <c r="BL180" s="45"/>
    </row>
    <row r="181" spans="59:64" x14ac:dyDescent="0.25">
      <c r="BG181"/>
      <c r="BK181"/>
      <c r="BL181" s="45"/>
    </row>
    <row r="182" spans="59:64" x14ac:dyDescent="0.25">
      <c r="BG182"/>
      <c r="BK182"/>
      <c r="BL182" s="45"/>
    </row>
    <row r="183" spans="59:64" x14ac:dyDescent="0.25">
      <c r="BG183"/>
      <c r="BK183"/>
      <c r="BL183" s="45"/>
    </row>
    <row r="184" spans="59:64" x14ac:dyDescent="0.25">
      <c r="BG184"/>
      <c r="BK184"/>
      <c r="BL184" s="45"/>
    </row>
    <row r="185" spans="59:64" x14ac:dyDescent="0.25">
      <c r="BG185"/>
      <c r="BK185"/>
      <c r="BL185" s="45"/>
    </row>
    <row r="186" spans="59:64" x14ac:dyDescent="0.25">
      <c r="BG186"/>
      <c r="BK186"/>
      <c r="BL186" s="45"/>
    </row>
    <row r="187" spans="59:64" x14ac:dyDescent="0.25">
      <c r="BG187"/>
      <c r="BK187"/>
      <c r="BL187" s="45"/>
    </row>
    <row r="188" spans="59:64" x14ac:dyDescent="0.25">
      <c r="BG188"/>
      <c r="BK188"/>
      <c r="BL188" s="45"/>
    </row>
    <row r="189" spans="59:64" x14ac:dyDescent="0.25">
      <c r="BG189"/>
      <c r="BK189"/>
      <c r="BL189" s="45"/>
    </row>
    <row r="190" spans="59:64" x14ac:dyDescent="0.25">
      <c r="BG190"/>
      <c r="BK190"/>
      <c r="BL190" s="45"/>
    </row>
    <row r="191" spans="59:64" x14ac:dyDescent="0.25">
      <c r="BG191"/>
      <c r="BK191"/>
      <c r="BL191" s="45"/>
    </row>
    <row r="192" spans="59:64" x14ac:dyDescent="0.25">
      <c r="BG192"/>
      <c r="BK192"/>
      <c r="BL192" s="45"/>
    </row>
    <row r="193" spans="59:64" x14ac:dyDescent="0.25">
      <c r="BG193"/>
      <c r="BK193"/>
      <c r="BL193" s="45"/>
    </row>
    <row r="194" spans="59:64" x14ac:dyDescent="0.25">
      <c r="BG194"/>
      <c r="BK194"/>
      <c r="BL194" s="45"/>
    </row>
    <row r="195" spans="59:64" x14ac:dyDescent="0.25">
      <c r="BG195"/>
      <c r="BK195"/>
      <c r="BL195" s="45"/>
    </row>
    <row r="196" spans="59:64" x14ac:dyDescent="0.25">
      <c r="BG196"/>
      <c r="BK196"/>
      <c r="BL196" s="45"/>
    </row>
    <row r="197" spans="59:64" x14ac:dyDescent="0.25">
      <c r="BG197"/>
      <c r="BK197"/>
      <c r="BL197" s="45"/>
    </row>
    <row r="198" spans="59:64" x14ac:dyDescent="0.25">
      <c r="BG198"/>
      <c r="BK198"/>
      <c r="BL198" s="45"/>
    </row>
    <row r="199" spans="59:64" x14ac:dyDescent="0.25">
      <c r="BG199"/>
      <c r="BK199"/>
      <c r="BL199" s="45"/>
    </row>
    <row r="200" spans="59:64" x14ac:dyDescent="0.25">
      <c r="BG200"/>
      <c r="BK200"/>
      <c r="BL200" s="45"/>
    </row>
    <row r="201" spans="59:64" x14ac:dyDescent="0.25">
      <c r="BG201"/>
      <c r="BK201"/>
      <c r="BL201" s="45"/>
    </row>
    <row r="202" spans="59:64" x14ac:dyDescent="0.25">
      <c r="BG202"/>
      <c r="BK202"/>
      <c r="BL202" s="45"/>
    </row>
    <row r="203" spans="59:64" x14ac:dyDescent="0.25">
      <c r="BG203"/>
      <c r="BK203"/>
      <c r="BL203" s="45"/>
    </row>
    <row r="204" spans="59:64" x14ac:dyDescent="0.25">
      <c r="BG204"/>
      <c r="BK204"/>
      <c r="BL204" s="45"/>
    </row>
    <row r="205" spans="59:64" x14ac:dyDescent="0.25">
      <c r="BG205"/>
      <c r="BK205"/>
      <c r="BL205" s="45"/>
    </row>
    <row r="206" spans="59:64" x14ac:dyDescent="0.25">
      <c r="BG206"/>
      <c r="BK206"/>
      <c r="BL206" s="45"/>
    </row>
    <row r="207" spans="59:64" x14ac:dyDescent="0.25">
      <c r="BG207"/>
      <c r="BK207"/>
      <c r="BL207" s="45"/>
    </row>
    <row r="208" spans="59:64" x14ac:dyDescent="0.25">
      <c r="BG208"/>
      <c r="BK208"/>
      <c r="BL208" s="45"/>
    </row>
    <row r="209" spans="59:64" x14ac:dyDescent="0.25">
      <c r="BG209"/>
      <c r="BK209"/>
      <c r="BL209" s="45"/>
    </row>
    <row r="210" spans="59:64" x14ac:dyDescent="0.25">
      <c r="BG210"/>
      <c r="BK210"/>
      <c r="BL210" s="45"/>
    </row>
    <row r="211" spans="59:64" x14ac:dyDescent="0.25">
      <c r="BG211"/>
      <c r="BK211"/>
      <c r="BL211" s="45"/>
    </row>
    <row r="212" spans="59:64" x14ac:dyDescent="0.25">
      <c r="BG212"/>
      <c r="BK212"/>
      <c r="BL212" s="45"/>
    </row>
    <row r="213" spans="59:64" x14ac:dyDescent="0.25">
      <c r="BG213"/>
      <c r="BK213"/>
      <c r="BL213" s="45"/>
    </row>
    <row r="214" spans="59:64" x14ac:dyDescent="0.25">
      <c r="BG214"/>
      <c r="BK214"/>
      <c r="BL214" s="45"/>
    </row>
    <row r="215" spans="59:64" x14ac:dyDescent="0.25">
      <c r="BG215"/>
      <c r="BK215"/>
      <c r="BL215" s="45"/>
    </row>
    <row r="216" spans="59:64" x14ac:dyDescent="0.25">
      <c r="BG216"/>
      <c r="BK216"/>
      <c r="BL216" s="45"/>
    </row>
    <row r="217" spans="59:64" x14ac:dyDescent="0.25">
      <c r="BG217"/>
      <c r="BK217"/>
      <c r="BL217" s="45"/>
    </row>
    <row r="218" spans="59:64" x14ac:dyDescent="0.25">
      <c r="BG218"/>
      <c r="BK218"/>
      <c r="BL218" s="45"/>
    </row>
    <row r="219" spans="59:64" x14ac:dyDescent="0.25">
      <c r="BG219"/>
      <c r="BK219"/>
      <c r="BL219" s="45"/>
    </row>
    <row r="220" spans="59:64" x14ac:dyDescent="0.25">
      <c r="BG220"/>
      <c r="BK220"/>
      <c r="BL220" s="45"/>
    </row>
    <row r="221" spans="59:64" x14ac:dyDescent="0.25">
      <c r="BG221"/>
      <c r="BK221"/>
      <c r="BL221" s="45"/>
    </row>
    <row r="222" spans="59:64" x14ac:dyDescent="0.25">
      <c r="BG222"/>
      <c r="BK222"/>
      <c r="BL222" s="45"/>
    </row>
    <row r="223" spans="59:64" x14ac:dyDescent="0.25">
      <c r="BG223"/>
      <c r="BK223"/>
      <c r="BL223" s="45"/>
    </row>
    <row r="224" spans="59:64" x14ac:dyDescent="0.25">
      <c r="BG224"/>
      <c r="BK224"/>
      <c r="BL224" s="45"/>
    </row>
    <row r="225" spans="59:64" x14ac:dyDescent="0.25">
      <c r="BG225"/>
      <c r="BK225"/>
      <c r="BL225" s="45"/>
    </row>
    <row r="226" spans="59:64" x14ac:dyDescent="0.25">
      <c r="BG226"/>
      <c r="BK226"/>
      <c r="BL226" s="45"/>
    </row>
    <row r="227" spans="59:64" x14ac:dyDescent="0.25">
      <c r="BG227"/>
      <c r="BK227"/>
      <c r="BL227" s="45"/>
    </row>
    <row r="228" spans="59:64" x14ac:dyDescent="0.25">
      <c r="BG228"/>
      <c r="BK228"/>
      <c r="BL228" s="45"/>
    </row>
    <row r="229" spans="59:64" x14ac:dyDescent="0.25">
      <c r="BG229"/>
      <c r="BK229"/>
      <c r="BL229" s="45"/>
    </row>
    <row r="230" spans="59:64" x14ac:dyDescent="0.25">
      <c r="BG230"/>
      <c r="BK230"/>
      <c r="BL230" s="45"/>
    </row>
    <row r="231" spans="59:64" x14ac:dyDescent="0.25">
      <c r="BG231"/>
      <c r="BK231"/>
      <c r="BL231" s="45"/>
    </row>
    <row r="232" spans="59:64" x14ac:dyDescent="0.25">
      <c r="BG232"/>
      <c r="BK232"/>
      <c r="BL232" s="45"/>
    </row>
    <row r="233" spans="59:64" x14ac:dyDescent="0.25">
      <c r="BG233"/>
      <c r="BK233"/>
      <c r="BL233" s="45"/>
    </row>
    <row r="234" spans="59:64" x14ac:dyDescent="0.25">
      <c r="BG234"/>
      <c r="BK234"/>
      <c r="BL234" s="45"/>
    </row>
    <row r="235" spans="59:64" x14ac:dyDescent="0.25">
      <c r="BG235"/>
      <c r="BK235"/>
      <c r="BL235" s="45"/>
    </row>
    <row r="236" spans="59:64" x14ac:dyDescent="0.25">
      <c r="BG236"/>
      <c r="BK236"/>
      <c r="BL236" s="45"/>
    </row>
    <row r="237" spans="59:64" x14ac:dyDescent="0.25">
      <c r="BG237"/>
      <c r="BK237"/>
      <c r="BL237" s="45"/>
    </row>
    <row r="238" spans="59:64" x14ac:dyDescent="0.25">
      <c r="BG238"/>
      <c r="BK238"/>
      <c r="BL238" s="45"/>
    </row>
    <row r="239" spans="59:64" x14ac:dyDescent="0.25">
      <c r="BG239"/>
      <c r="BK239"/>
      <c r="BL239" s="45"/>
    </row>
    <row r="240" spans="59:64" x14ac:dyDescent="0.25">
      <c r="BG240"/>
      <c r="BK240"/>
      <c r="BL240" s="45"/>
    </row>
    <row r="241" spans="59:64" x14ac:dyDescent="0.25">
      <c r="BG241"/>
      <c r="BK241"/>
      <c r="BL241" s="45"/>
    </row>
    <row r="242" spans="59:64" x14ac:dyDescent="0.25">
      <c r="BG242"/>
      <c r="BK242"/>
      <c r="BL242" s="45"/>
    </row>
    <row r="243" spans="59:64" x14ac:dyDescent="0.25">
      <c r="BG243"/>
      <c r="BK243"/>
      <c r="BL243" s="45"/>
    </row>
    <row r="244" spans="59:64" x14ac:dyDescent="0.25">
      <c r="BG244"/>
      <c r="BK244"/>
      <c r="BL244" s="45"/>
    </row>
    <row r="245" spans="59:64" x14ac:dyDescent="0.25">
      <c r="BG245"/>
      <c r="BK245"/>
      <c r="BL245" s="45"/>
    </row>
    <row r="246" spans="59:64" x14ac:dyDescent="0.25">
      <c r="BG246"/>
      <c r="BK246"/>
      <c r="BL246" s="45"/>
    </row>
    <row r="247" spans="59:64" x14ac:dyDescent="0.25">
      <c r="BG247"/>
      <c r="BK247"/>
      <c r="BL247" s="45"/>
    </row>
    <row r="248" spans="59:64" x14ac:dyDescent="0.25">
      <c r="BG248"/>
      <c r="BK248"/>
      <c r="BL248" s="45"/>
    </row>
    <row r="249" spans="59:64" x14ac:dyDescent="0.25">
      <c r="BG249"/>
      <c r="BK249"/>
      <c r="BL249" s="45"/>
    </row>
    <row r="250" spans="59:64" x14ac:dyDescent="0.25">
      <c r="BG250"/>
      <c r="BK250"/>
      <c r="BL250" s="45"/>
    </row>
    <row r="251" spans="59:64" x14ac:dyDescent="0.25">
      <c r="BG251"/>
      <c r="BK251"/>
      <c r="BL251" s="45"/>
    </row>
    <row r="252" spans="59:64" x14ac:dyDescent="0.25">
      <c r="BG252"/>
      <c r="BK252"/>
      <c r="BL252" s="45"/>
    </row>
    <row r="253" spans="59:64" x14ac:dyDescent="0.25">
      <c r="BG253"/>
      <c r="BK253"/>
      <c r="BL253" s="45"/>
    </row>
    <row r="254" spans="59:64" x14ac:dyDescent="0.25">
      <c r="BG254"/>
      <c r="BK254"/>
      <c r="BL254" s="45"/>
    </row>
    <row r="255" spans="59:64" x14ac:dyDescent="0.25">
      <c r="BG255"/>
      <c r="BK255"/>
      <c r="BL255" s="45"/>
    </row>
    <row r="256" spans="59:64" x14ac:dyDescent="0.25">
      <c r="BG256"/>
      <c r="BK256"/>
      <c r="BL256" s="45"/>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24"/>
  <sheetViews>
    <sheetView showGridLines="0" showRowColHeaders="0" tabSelected="1" workbookViewId="0">
      <selection activeCell="E19" sqref="E19"/>
    </sheetView>
  </sheetViews>
  <sheetFormatPr defaultColWidth="9.140625" defaultRowHeight="12.75" x14ac:dyDescent="0.2"/>
  <cols>
    <col min="1" max="1" width="29.42578125" style="2" customWidth="1"/>
    <col min="2" max="2" width="25" style="2" customWidth="1"/>
    <col min="3" max="3" width="13" style="2" customWidth="1"/>
    <col min="4" max="4" width="15.5703125" style="2" customWidth="1"/>
    <col min="5" max="9" width="34.5703125" style="2" customWidth="1"/>
    <col min="10" max="16384" width="9.140625" style="2"/>
  </cols>
  <sheetData>
    <row r="1" spans="1:9" ht="15" x14ac:dyDescent="0.25">
      <c r="B1" s="32" t="s">
        <v>7</v>
      </c>
      <c r="C1" s="13" t="s" vm="2">
        <v>155</v>
      </c>
      <c r="D1"/>
      <c r="E1"/>
      <c r="F1"/>
      <c r="G1"/>
      <c r="H1"/>
    </row>
    <row r="2" spans="1:9" ht="15" x14ac:dyDescent="0.25">
      <c r="B2"/>
      <c r="C2"/>
      <c r="D2"/>
      <c r="E2"/>
      <c r="F2"/>
      <c r="G2"/>
      <c r="H2"/>
    </row>
    <row r="3" spans="1:9" ht="15" x14ac:dyDescent="0.25">
      <c r="B3" s="32" t="s">
        <v>321</v>
      </c>
      <c r="C3"/>
      <c r="D3"/>
      <c r="E3"/>
      <c r="F3"/>
      <c r="G3"/>
      <c r="H3"/>
      <c r="I3"/>
    </row>
    <row r="4" spans="1:9" ht="15" x14ac:dyDescent="0.25">
      <c r="B4" s="32" t="s">
        <v>323</v>
      </c>
      <c r="C4" t="s">
        <v>322</v>
      </c>
      <c r="D4"/>
      <c r="E4"/>
      <c r="F4"/>
      <c r="G4"/>
      <c r="H4"/>
      <c r="I4"/>
    </row>
    <row r="5" spans="1:9" ht="15" x14ac:dyDescent="0.25">
      <c r="B5" s="13" t="s">
        <v>324</v>
      </c>
      <c r="C5" s="40">
        <v>2</v>
      </c>
      <c r="D5"/>
      <c r="E5"/>
      <c r="F5"/>
      <c r="G5"/>
      <c r="H5"/>
      <c r="I5"/>
    </row>
    <row r="6" spans="1:9" ht="15" x14ac:dyDescent="0.25">
      <c r="B6" s="13" t="s">
        <v>325</v>
      </c>
      <c r="C6" s="40">
        <v>1</v>
      </c>
      <c r="D6"/>
      <c r="E6"/>
      <c r="F6"/>
      <c r="G6"/>
      <c r="H6"/>
      <c r="I6"/>
    </row>
    <row r="7" spans="1:9" ht="15" x14ac:dyDescent="0.25">
      <c r="B7" s="13" t="s">
        <v>326</v>
      </c>
      <c r="C7" s="40">
        <v>3</v>
      </c>
      <c r="D7"/>
      <c r="E7"/>
      <c r="F7"/>
      <c r="G7"/>
      <c r="H7"/>
      <c r="I7"/>
    </row>
    <row r="8" spans="1:9" ht="15" x14ac:dyDescent="0.25">
      <c r="B8" s="13" t="s">
        <v>33</v>
      </c>
      <c r="C8" s="40">
        <v>6</v>
      </c>
      <c r="D8"/>
      <c r="E8"/>
      <c r="F8"/>
      <c r="G8"/>
      <c r="H8"/>
      <c r="I8"/>
    </row>
    <row r="9" spans="1:9" ht="15" x14ac:dyDescent="0.25">
      <c r="B9"/>
      <c r="C9"/>
      <c r="D9"/>
      <c r="E9"/>
      <c r="F9"/>
      <c r="G9"/>
      <c r="H9"/>
    </row>
    <row r="10" spans="1:9" ht="15" x14ac:dyDescent="0.25">
      <c r="B10"/>
      <c r="C10"/>
      <c r="D10"/>
      <c r="E10"/>
      <c r="F10"/>
      <c r="G10"/>
      <c r="H10"/>
    </row>
    <row r="11" spans="1:9" ht="15" x14ac:dyDescent="0.25">
      <c r="B11"/>
      <c r="C11"/>
      <c r="D11"/>
      <c r="E11"/>
      <c r="F11"/>
      <c r="G11"/>
      <c r="H11"/>
    </row>
    <row r="12" spans="1:9" ht="15" x14ac:dyDescent="0.25">
      <c r="A12"/>
      <c r="B12"/>
      <c r="C12"/>
      <c r="D12"/>
      <c r="E12"/>
      <c r="F12"/>
      <c r="G12"/>
      <c r="H12"/>
    </row>
    <row r="13" spans="1:9" ht="15" x14ac:dyDescent="0.25">
      <c r="A13"/>
      <c r="B13"/>
      <c r="C13"/>
      <c r="D13"/>
      <c r="E13"/>
      <c r="F13"/>
      <c r="G13"/>
      <c r="H13"/>
    </row>
    <row r="14" spans="1:9" ht="15" x14ac:dyDescent="0.25">
      <c r="A14"/>
      <c r="B14"/>
      <c r="C14"/>
      <c r="D14"/>
      <c r="E14"/>
      <c r="F14"/>
      <c r="G14"/>
      <c r="H14"/>
    </row>
    <row r="15" spans="1:9" ht="15" x14ac:dyDescent="0.25">
      <c r="A15"/>
      <c r="B15"/>
      <c r="C15"/>
      <c r="D15"/>
      <c r="E15"/>
      <c r="F15"/>
      <c r="G15"/>
      <c r="H15"/>
    </row>
    <row r="16" spans="1:9" ht="15" x14ac:dyDescent="0.25">
      <c r="A16"/>
      <c r="B16"/>
      <c r="C16"/>
      <c r="D16"/>
      <c r="E16"/>
      <c r="F16"/>
      <c r="G16"/>
      <c r="H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owerPivot Gallery Document" ma:contentTypeID="0x01010095E45217B88345418947D2378995B6B0000D3F9F9A45C91C44B6D41AC6FAF04D40" ma:contentTypeVersion="10" ma:contentTypeDescription="Document in a PowerPivot Gallery" ma:contentTypeScope="" ma:versionID="ecb8c6229481764f9595a8149072867d">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F4D2F3-2BEC-417C-9A89-BE4476566629}">
  <ds:schemaRefs>
    <ds:schemaRef ds:uri="http://schemas.microsoft.com/office/2006/metadata/properties"/>
    <ds:schemaRef ds:uri="http://schemas.openxmlformats.org/package/2006/metadata/core-properties"/>
    <ds:schemaRef ds:uri="http://purl.org/dc/elements/1.1/"/>
    <ds:schemaRef ds:uri="http://www.w3.org/XML/1998/namespace"/>
    <ds:schemaRef ds:uri="http://purl.org/dc/terms/"/>
    <ds:schemaRef ds:uri="http://schemas.microsoft.com/office/2006/documentManagement/types"/>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BDC45190-1BE1-4944-9002-2785A540A4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Local Dev</cp:lastModifiedBy>
  <dcterms:created xsi:type="dcterms:W3CDTF">2012-09-25T04:11:30Z</dcterms:created>
  <dcterms:modified xsi:type="dcterms:W3CDTF">2016-12-01T04:02:53Z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0x01010095E45217B88345418947D2378995B6B0000D3F9F9A45C91C44B6D41AC6FAF04D40</vt:lpwstr>
  </property>
  <property fmtid="{D5CDD505-2E9C-101B-9397-08002B2CF9AE}" pid="3" name="Order">
    <vt:r8>153000</vt:r8>
  </property>
</Properties>
</file>